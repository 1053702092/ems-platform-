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568c64d93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0172d315e6b0421d"/>
    <x:sheet xmlns:r="http://schemas.openxmlformats.org/officeDocument/2006/relationships" name="推荐岗位" sheetId="2" r:id="R929b6db94d534af0"/>
    <x:sheet xmlns:r="http://schemas.openxmlformats.org/officeDocument/2006/relationships" name="国聘央企入口" sheetId="3" r:id="R346eb4fcb17847aa"/>
    <x:sheet xmlns:r="http://schemas.openxmlformats.org/officeDocument/2006/relationships" name="关键词统计" sheetId="4" r:id="Re32dcdf21c5f4fc1"/>
    <x:sheet xmlns:r="http://schemas.openxmlformats.org/officeDocument/2006/relationships" name="行动清单" sheetId="5" r:id="R25a7de9707b04cff"/>
    <x:sheet xmlns:r="http://schemas.openxmlformats.org/officeDocument/2006/relationships" name="来源与说明" sheetId="6" r:id="Recc69868be63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10">
    <x:font>
      <x:sz val="11"/>
      <x:name val="Carlito"/>
    </x:font>
    <x:font>
      <x:b/>
      <x:sz val="14"/>
      <x:color rgb="FFFFFFFF"/>
      <x:name val="Carlito"/>
    </x:font>
    <x:font>
      <x:sz val="10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2563EB"/>
      <x:name val="Carlito"/>
    </x:font>
    <x:font>
      <x:b/>
      <x:sz val="10"/>
      <x:color rgb="FF111827"/>
      <x:name val="Microsoft YaHei"/>
    </x:font>
    <x:font>
      <x:sz val="10"/>
      <x:color rgb="FF111827"/>
      <x:name val="Microsoft YaHei"/>
    </x:font>
    <x:font>
      <x:b/>
      <x:sz val="14"/>
      <x:color rgb="FFFFFFFF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4A7C"/>
      </x:patternFill>
    </x:fill>
    <x:fill>
      <x:patternFill patternType="solid">
        <x:fgColor rgb="FFEAF3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</x:border>
    <x:border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4" xfId="0" applyNumberFormat="1" applyFont="1" applyFill="1" applyBorder="1"/>
    <x:xf numFmtId="200" fontId="0" fillId="0" borderId="4" xfId="0" applyNumberFormat="1" applyFont="1" applyFill="1" applyBorder="1"/>
    <x:xf numFmtId="0" fontId="3" fillId="5" borderId="2" xfId="0" applyNumberFormat="1" applyFont="1" applyFill="1" applyBorder="1"/>
    <x:xf numFmtId="0" fontId="0" fillId="5" borderId="4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5" borderId="2" xfId="0" applyNumberFormat="1" applyFont="1" applyFill="1" applyBorder="1"/>
    <x:xf numFmtId="0" fontId="6" fillId="4" borderId="3" xfId="0" applyNumberFormat="1" applyFont="1" applyFill="1" applyBorder="1"/>
    <x:xf numFmtId="0" fontId="6" fillId="0" borderId="4" xfId="0" applyNumberFormat="1" applyFont="1" applyFill="1" applyBorder="1"/>
    <x:xf numFmtId="200" fontId="7" fillId="0" borderId="4" xfId="0" applyNumberFormat="1" applyFont="1" applyFill="1" applyBorder="1"/>
    <x:xf numFmtId="0" fontId="7" fillId="0" borderId="4" xfId="0" applyNumberFormat="1" applyFont="1" applyFill="1" applyBorder="1"/>
    <x:xf numFmtId="0" fontId="7" fillId="5" borderId="4" xfId="0" applyNumberFormat="1" applyFont="1" applyFill="1" applyBorder="1"/>
    <x:xf numFmtId="0" fontId="6" fillId="2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3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8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201" fontId="7" fillId="0" borderId="11" xfId="0" applyNumberFormat="1" applyFont="1" applyFill="1" applyBorder="1"/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/>
    <x:xf numFmtId="200" fontId="7" fillId="0" borderId="0" xfId="0" applyNumberFormat="1" applyFont="1" applyFill="1" applyBorder="1"/>
    <x:xf numFmtId="200" fontId="7" fillId="0" borderId="11" xfId="0" applyNumberFormat="1" applyFont="1" applyFill="1" applyBorder="1"/>
    <x:xf numFmtId="200" fontId="7" fillId="0" borderId="9" xfId="0" applyNumberFormat="1" applyFont="1" applyFill="1" applyBorder="1"/>
    <x:xf numFmtId="200" fontId="7" fillId="0" borderId="12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8" fillId="2" borderId="5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5d9adfa074997" /><Relationship Type="http://schemas.openxmlformats.org/officeDocument/2006/relationships/theme" Target="/xl/theme/theme1.xml" Id="Rd4a29a88b9754cb8" /><Relationship Type="http://schemas.openxmlformats.org/officeDocument/2006/relationships/sharedStrings" Target="/xl/sharedStrings.xml" Id="Ra1f4294c719540a5" /><Relationship Type="http://schemas.openxmlformats.org/officeDocument/2006/relationships/worksheet" Target="/xl/worksheets/sheet1.xml" Id="R0172d315e6b0421d" /><Relationship Type="http://schemas.openxmlformats.org/officeDocument/2006/relationships/worksheet" Target="/xl/worksheets/sheet2.xml" Id="R929b6db94d534af0" /><Relationship Type="http://schemas.openxmlformats.org/officeDocument/2006/relationships/worksheet" Target="/xl/worksheets/sheet3.xml" Id="R346eb4fcb17847aa" /><Relationship Type="http://schemas.openxmlformats.org/officeDocument/2006/relationships/worksheet" Target="/xl/worksheets/sheet4.xml" Id="Re32dcdf21c5f4fc1" /><Relationship Type="http://schemas.openxmlformats.org/officeDocument/2006/relationships/worksheet" Target="/xl/worksheets/sheet5.xml" Id="R25a7de9707b04cff" /><Relationship Type="http://schemas.openxmlformats.org/officeDocument/2006/relationships/worksheet" Target="/xl/worksheets/sheet6.xml" Id="Recc69868be63481e" /><Relationship Type="http://schemas.microsoft.com/office/2017/10/relationships/person" Target="/xl/persons/person.xml" Id="R7c20c3acccc44123" /></Relationships>
</file>

<file path=xl/persons/person.xml><?xml version="1.0" encoding="utf-8"?>
<xltc:personList xmlns:xltc="http://schemas.microsoft.com/office/spreadsheetml/2018/threadedcomments">
  <xltc:person displayName="User" id="{916A26EB-0BF0-4BAD-BE87-E7DF45D25284}"/>
</xltc:personList>
</file>

<file path=xl/tables/table1.xml><?xml version="1.0" encoding="utf-8"?>
<x:table xmlns:x="http://schemas.openxmlformats.org/spreadsheetml/2006/main" id="1" name="RecommendedJobsTable" displayName="RecommendedJobsTable" ref="A4:M44" headerRowCount="1" totalsRowCount="0" totalsRowShown="0">
  <x:autoFilter ref="A4:M44"/>
  <x:tableColumns count="13">
    <x:tableColumn id="1" name="推荐级别"/>
    <x:tableColumn id="2" name="来源"/>
    <x:tableColumn id="3" name="岗位"/>
    <x:tableColumn id="4" name="公司"/>
    <x:tableColumn id="5" name="省份"/>
    <x:tableColumn id="6" name="城市"/>
    <x:tableColumn id="7" name="开始日期"/>
    <x:tableColumn id="8" name="截止日期"/>
    <x:tableColumn id="9" name="匹配点"/>
    <x:tableColumn id="10" name="备注/风险"/>
    <x:tableColumn id="11" name="关键词"/>
    <x:tableColumn id="12" name="评分"/>
    <x:tableColumn id="13" name="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opinSoeTable" displayName="GuopinSoeTable" ref="A4:L14" headerRowCount="1" totalsRowCount="0" totalsRowShown="0">
  <x:autoFilter ref="A4:L14"/>
  <x:tableColumns count="12">
    <x:tableColumn id="1" name="优先级"/>
    <x:tableColumn id="2" name="公司"/>
    <x:tableColumn id="3" name="简称"/>
    <x:tableColumn id="4" name="岗位数"/>
    <x:tableColumn id="5" name="招聘人数"/>
    <x:tableColumn id="6" name="校招数"/>
    <x:tableColumn id="7" name="社招数"/>
    <x:tableColumn id="8" name="行业"/>
    <x:tableColumn id="9" name="地区"/>
    <x:tableColumn id="10" name="匹配判断"/>
    <x:tableColumn id="11" name="下一步动作"/>
    <x:tableColumn id="12" name="入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StatsTable" displayName="KeywordStatsTable" ref="A4:D13" headerRowCount="1" totalsRowCount="0" totalsRowShown="0">
  <x:autoFilter ref="A4:D13"/>
  <x:tableColumns count="4">
    <x:tableColumn id="1" name="关键词"/>
    <x:tableColumn id="2" name="全站结果数"/>
    <x:tableColumn id="3" name="已抓取去重数"/>
    <x:tableColumn id="4" name="页数口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ChecklistTable" displayName="ActionChecklistTable" ref="A4:G11" headerRowCount="1" totalsRowCount="0" totalsRowShown="0">
  <x:autoFilter ref="A4:G11"/>
  <x:tableColumns count="7">
    <x:tableColumn id="1" name="序号"/>
    <x:tableColumn id="2" name="事项"/>
    <x:tableColumn id="3" name="平台"/>
    <x:tableColumn id="4" name="优先级"/>
    <x:tableColumn id="5" name="状态"/>
    <x:tableColumn id="6" name="截止日期"/>
    <x:tableColumn id="7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4:E14" headerRowCount="1" totalsRowCount="0" totalsRowShown="0">
  <x:autoFilter ref="A4:E14"/>
  <x:tableColumns count="5">
    <x:tableColumn id="1" name="类型"/>
    <x:tableColumn id="2" name="名称"/>
    <x:tableColumn id="3" name="状态/口径"/>
    <x:tableColumn id="4" name="链接或本地路径"/>
    <x:tableColumn id="5" name="摘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63e3f7576148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6d08177e4545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6705cf31324a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24e11500b147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86807aca814e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4" hidden="0" customWidth="1"/>
    <x:col min="4" max="4" width="3" hidden="0" customWidth="1"/>
    <x:col min="5" max="5" width="36" hidden="0" customWidth="1"/>
    <x:col min="6" max="6" width="18" hidden="0" customWidth="1"/>
    <x:col min="7" max="7" width="10" hidden="0" customWidth="1"/>
    <x:col min="8" max="8" width="12" hidden="0" customWidth="1"/>
  </x:cols>
  <x:sheetData>
    <x:row r="1" ht="30" hidden="0" customHeight="1">
      <x:c r="A1" s="49" t="str">
        <x:v>EMS/BMS 岗位检索概览</x:v>
      </x:c>
      <x:c r="B1" s="31"/>
      <x:c r="C1" s="31"/>
      <x:c r="D1" s="31"/>
      <x:c r="E1" s="31"/>
      <x:c r="F1" s="31"/>
      <x:c r="G1" s="31"/>
      <x:c r="H1" s="32"/>
    </x:row>
    <x:row r="2" ht="24" hidden="0" customHeight="1">
      <x:c r="A2" s="33" t="str">
        <x:v>检索日期：2026-07-27；来源：中国公共招聘网、国聘行动、国资小新/国务院国资委招聘页</x:v>
      </x:c>
      <x:c r="B2" s="20"/>
      <x:c r="C2" s="20"/>
      <x:c r="D2" s="20"/>
      <x:c r="E2" s="20"/>
      <x:c r="F2" s="20"/>
      <x:c r="G2" s="20"/>
      <x:c r="H2" s="34"/>
    </x:row>
    <x:row r="3" ht="15" hidden="0" customHeight="1">
      <x:c r="A3" s="35"/>
      <x:c r="B3" s="20"/>
      <x:c r="C3" s="20"/>
      <x:c r="D3" s="20"/>
      <x:c r="E3" s="20"/>
      <x:c r="F3" s="20"/>
      <x:c r="G3" s="20"/>
      <x:c r="H3" s="34"/>
    </x:row>
    <x:row r="4" ht="15" hidden="0" customHeight="1">
      <x:c r="A4" s="50" t="str">
        <x:v>指标</x:v>
      </x:c>
      <x:c r="B4" s="51" t="str">
        <x:v>数值</x:v>
      </x:c>
      <x:c r="C4" s="51" t="str">
        <x:v>说明</x:v>
      </x:c>
      <x:c r="D4" s="51" t="str"/>
      <x:c r="E4" s="51" t="str">
        <x:v>重点行动</x:v>
      </x:c>
      <x:c r="F4" s="51" t="str">
        <x:v>平台</x:v>
      </x:c>
      <x:c r="G4" s="51" t="str">
        <x:v>优先级</x:v>
      </x:c>
      <x:c r="H4" s="52" t="str">
        <x:v>状态</x:v>
      </x:c>
    </x:row>
    <x:row r="5" ht="15" hidden="0" customHeight="1">
      <x:c r="A5" s="26" t="str">
        <x:v>推荐岗位数</x:v>
      </x:c>
      <x:c r="B5" s="27" t="n">
        <x:f>COUNTA('推荐岗位'!C5:C200)</x:f>
        <x:v>40</x:v>
      </x:c>
      <x:c r="C5" s="28" t="str">
        <x:v>来自中国公共招聘网技术岗筛选</x:v>
      </x:c>
      <x:c r="D5" s="29"/>
      <x:c r="E5" s="28" t="str">
        <x:v>核中国电气装备 9 个校招岗位</x:v>
      </x:c>
      <x:c r="F5" s="28" t="str">
        <x:v>国聘行动</x:v>
      </x:c>
      <x:c r="G5" s="28" t="str">
        <x:v>高</x:v>
      </x:c>
      <x:c r="H5" s="28" t="str">
        <x:v>未处理</x:v>
      </x:c>
    </x:row>
    <x:row r="6" ht="15" hidden="0" customHeight="1">
      <x:c r="A6" s="26" t="str">
        <x:v>高优先岗位</x:v>
      </x:c>
      <x:c r="B6" s="27" t="n">
        <x:f>COUNTIF('推荐岗位'!A5:A200,"高")</x:f>
        <x:v>9</x:v>
      </x:c>
      <x:c r="C6" s="28" t="str">
        <x:v>BMS/EMS/PCS/嵌入式/系统研发更贴合</x:v>
      </x:c>
      <x:c r="D6" s="29"/>
      <x:c r="E6" s="28" t="str">
        <x:v>核中国能建/国家电投/东方电气</x:v>
      </x:c>
      <x:c r="F6" s="28" t="str">
        <x:v>国聘行动</x:v>
      </x:c>
      <x:c r="G6" s="28" t="str">
        <x:v>高</x:v>
      </x:c>
      <x:c r="H6" s="28" t="str">
        <x:v>未处理</x:v>
      </x:c>
    </x:row>
    <x:row r="7" ht="15" hidden="0" customHeight="1">
      <x:c r="A7" s="26" t="str">
        <x:v>国聘重点央企入口</x:v>
      </x:c>
      <x:c r="B7" s="27" t="n">
        <x:f>COUNTA('国聘央企入口'!B5:B100)</x:f>
        <x:v>10</x:v>
      </x:c>
      <x:c r="C7" s="28" t="str">
        <x:v>需登录核具体 JD</x:v>
      </x:c>
      <x:c r="D7" s="29"/>
      <x:c r="E7" s="28" t="str">
        <x:v>投前核力高 BMS/PCS/储能截止</x:v>
      </x:c>
      <x:c r="F7" s="28" t="str">
        <x:v>中国公共招聘网</x:v>
      </x:c>
      <x:c r="G7" s="28" t="str">
        <x:v>高</x:v>
      </x:c>
      <x:c r="H7" s="28" t="str">
        <x:v>未处理</x:v>
      </x:c>
    </x:row>
    <x:row r="8" ht="15" hidden="0" customHeight="1">
      <x:c r="A8" s="26" t="str">
        <x:v>国资官方强信号</x:v>
      </x:c>
      <x:c r="B8" s="27" t="n">
        <x:v>1</x:v>
      </x:c>
      <x:c r="C8" s="28" t="str">
        <x:v>中国电气装备储能公司 2026 春招</x:v>
      </x:c>
      <x:c r="D8" s="29"/>
      <x:c r="E8" s="28" t="str">
        <x:v>核中创新航 C++ 新能源岗位是否收应届</x:v>
      </x:c>
      <x:c r="F8" s="28" t="str">
        <x:v>中国公共招聘网</x:v>
      </x:c>
      <x:c r="G8" s="28" t="str">
        <x:v>中高</x:v>
      </x:c>
      <x:c r="H8" s="28" t="str">
        <x:v>未处理</x:v>
      </x:c>
    </x:row>
    <x:row r="9" ht="15" hidden="0" customHeight="1">
      <x:c r="A9" s="26" t="str">
        <x:v>公共招聘网储能结果</x:v>
      </x:c>
      <x:c r="B9" s="27" t="n">
        <x:v>194</x:v>
      </x:c>
      <x:c r="C9" s="28" t="str">
        <x:v>关键词“储能”的全站结果数</x:v>
      </x:c>
      <x:c r="D9" s="29"/>
      <x:c r="E9" s="28" t="str">
        <x:v>保存国资委中国电气装备春招线索</x:v>
      </x:c>
      <x:c r="F9" s="28" t="str">
        <x:v>国资小新/国资委</x:v>
      </x:c>
      <x:c r="G9" s="28" t="str">
        <x:v>高</x:v>
      </x:c>
      <x:c r="H9" s="28" t="str">
        <x:v>已记录</x:v>
      </x:c>
    </x:row>
    <x:row r="10" ht="15" hidden="0" customHeight="1">
      <x:c r="A10" s="26" t="str">
        <x:v>公共招聘网 BMS/EMS 结果</x:v>
      </x:c>
      <x:c r="B10" s="27" t="n">
        <x:v>66</x:v>
      </x:c>
      <x:c r="C10" s="28" t="str">
        <x:v>BMS 与 EMS 合计</x:v>
      </x:c>
      <x:c r="D10" s="29"/>
      <x:c r="E10" s="28" t="str">
        <x:v>下次检索继续纳入三平台</x:v>
      </x:c>
      <x:c r="F10" s="28" t="str">
        <x:v>固定流程</x:v>
      </x:c>
      <x:c r="G10" s="28" t="str">
        <x:v>中</x:v>
      </x:c>
      <x:c r="H10" s="28" t="str">
        <x:v>持续</x:v>
      </x:c>
    </x:row>
  </x:sheetData>
  <x:mergeCells>
    <x:mergeCell ref="A1:H1"/>
    <x:mergeCell ref="A2:H2"/>
  </x:mergeCells>
  <x:dataValidations count="1">
    <x:dataValidation type="list" sqref="H5:H10">
      <x:formula1>"未处理,已查看,已投递,放弃,已记录,持续"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  <x:col min="10" max="10" width="52" hidden="0" customWidth="1"/>
    <x:col min="11" max="11" width="20" hidden="0" customWidth="1"/>
    <x:col min="12" max="12" width="8" hidden="0" customWidth="1"/>
    <x:col min="13" max="13" width="56" hidden="0" customWidth="1"/>
  </x:cols>
  <x:sheetData>
    <x:row r="1" ht="30" hidden="0" customHeight="1">
      <x:c r="A1" s="49" t="str">
        <x:v>中国公共招聘网 - EMS/BMS/SOC 相关岗位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2"/>
    </x:row>
    <x:row r="2" ht="24" hidden="0" customHeight="1">
      <x:c r="A2" s="33" t="str">
        <x:v>保留岗位源链接；优先级为按 EMS/BMS/SOC 技术路线自动筛选后的投递建议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34"/>
    </x:row>
    <x:row r="3" ht="15" hidden="0" customHeight="1">
      <x:c r="A3" s="35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34"/>
    </x:row>
    <x:row r="4" ht="15" hidden="0" customHeight="1">
      <x:c r="A4" s="50" t="str">
        <x:v>推荐级别</x:v>
      </x:c>
      <x:c r="B4" s="51" t="str">
        <x:v>来源</x:v>
      </x:c>
      <x:c r="C4" s="51" t="str">
        <x:v>岗位</x:v>
      </x:c>
      <x:c r="D4" s="51" t="str">
        <x:v>公司</x:v>
      </x:c>
      <x:c r="E4" s="51" t="str">
        <x:v>省份</x:v>
      </x:c>
      <x:c r="F4" s="51" t="str">
        <x:v>城市</x:v>
      </x:c>
      <x:c r="G4" s="51" t="str">
        <x:v>开始日期</x:v>
      </x:c>
      <x:c r="H4" s="51" t="str">
        <x:v>截止日期</x:v>
      </x:c>
      <x:c r="I4" s="51" t="str">
        <x:v>匹配点</x:v>
      </x:c>
      <x:c r="J4" s="51" t="str">
        <x:v>备注/风险</x:v>
      </x:c>
      <x:c r="K4" s="51" t="str">
        <x:v>关键词</x:v>
      </x:c>
      <x:c r="L4" s="51" t="str">
        <x:v>评分</x:v>
      </x:c>
      <x:c r="M4" s="52" t="str">
        <x:v>源链接</x:v>
      </x:c>
    </x:row>
    <x:row r="5" ht="72" hidden="0" customHeight="1">
      <x:c r="A5" s="35" t="str">
        <x:v>高</x:v>
      </x:c>
      <x:c r="B5" s="20" t="str">
        <x:v>中国公共招聘网</x:v>
      </x:c>
      <x:c r="C5" s="20" t="str">
        <x:v>软件工程师(嵌入式)</x:v>
      </x:c>
      <x:c r="D5" s="20" t="str">
        <x:v>惠州市普诚科技有限公司</x:v>
      </x:c>
      <x:c r="E5" s="20" t="str">
        <x:v>广东省</x:v>
      </x:c>
      <x:c r="F5" s="20" t="str">
        <x:v>广东省</x:v>
      </x:c>
      <x:c r="G5" s="36" t="n">
        <x:v>46205</x:v>
      </x:c>
      <x:c r="H5" s="36" t="n">
        <x:v>46236</x:v>
      </x:c>
      <x:c r="I5" s="20" t="str">
        <x:v>BMS / SOC / SOH / 嵌入式 / 软件</x:v>
      </x:c>
      <x:c r="J5" s="37" t="str">
        <x:v>年满28—45职位描述:1.负责BMS保护板软件的方案定义和软件设计开发。2.负责开展BMS保护板系统SOC、SOH及均衡算法研究与设计。3.负责优化BMS保护板平台功能策略与控制逻辑，并实现代码开发。4.负责完成BMS保护板软件功能设计、编码、调试及验证。5.负责BMS保护板控制策略开发，包括上下电策略、充电策略、均衡策略、加热策略、故障诊断策略等。6.…</x:v>
      </x:c>
      <x:c r="K5" s="20" t="str">
        <x:v>BMS / SOC / SOH</x:v>
      </x:c>
      <x:c r="L5" s="20" t="n">
        <x:v>31</x:v>
      </x:c>
      <x:c r="M5" s="34" t="str">
        <x:v>http://job.mohrss.gov.cn/cjobs/jobinfolist/cb21/showgw?id=80612916</x:v>
      </x:c>
    </x:row>
    <x:row r="6" ht="84" hidden="0" customHeight="1">
      <x:c r="A6" s="35" t="str">
        <x:v>中高</x:v>
      </x:c>
      <x:c r="B6" s="20" t="str">
        <x:v>中国公共招聘网</x:v>
      </x:c>
      <x:c r="C6" s="20" t="str">
        <x:v>电机控制算法工程师</x:v>
      </x:c>
      <x:c r="D6" s="20" t="str">
        <x:v>国信新能源科技（常州）有限公司</x:v>
      </x:c>
      <x:c r="E6" s="20" t="str">
        <x:v>江苏省</x:v>
      </x:c>
      <x:c r="F6" s="20" t="str">
        <x:v>江苏省</x:v>
      </x:c>
      <x:c r="G6" s="36" t="n">
        <x:v>46022</x:v>
      </x:c>
      <x:c r="H6" s="36" t="n">
        <x:v>46387</x:v>
      </x:c>
      <x:c r="I6" s="20" t="str">
        <x:v>控制算法 / 嵌入式 / 软件</x:v>
      </x:c>
      <x:c r="J6" s="37" t="str">
        <x:v>岗位职责：1.负责无刷直流、永磁同步等电机控制算法的开发，完成所需的建模仿真、算法开发与调试； 2.参与电机控制器的整体方案设计及软件构架设计，与硬件、嵌入式和测试团队合作，集成并优化系统，提升产品功能、性能及稳定性； 3.负责基于嵌入式系统的算法实现及优化； 4.协助测试工程师制定测试计划及测试说明文档，并完成测试工作； 5.解决在产品测试、生产、使用中…</x:v>
      </x:c>
      <x:c r="K6" s="20" t="str">
        <x:v>控制算法</x:v>
      </x:c>
      <x:c r="L6" s="20" t="n">
        <x:v>31</x:v>
      </x:c>
      <x:c r="M6" s="34" t="str">
        <x:v>http://job.mohrss.gov.cn/cjobs/jobinfolist/cb21/showgw?id=69322174</x:v>
      </x:c>
    </x:row>
    <x:row r="7" ht="15" hidden="0" customHeight="1">
      <x:c r="A7" s="35" t="str">
        <x:v>高</x:v>
      </x:c>
      <x:c r="B7" s="20" t="str">
        <x:v>中国公共招聘网</x:v>
      </x:c>
      <x:c r="C7" s="20" t="str">
        <x:v>嵌入式软件工程师（BMS/PCS/储能）</x:v>
      </x:c>
      <x:c r="D7" s="20" t="str">
        <x:v>力高（山东）新能源技术有限公司安徽分公司</x:v>
      </x:c>
      <x:c r="E7" s="20" t="str">
        <x:v>合肥市</x:v>
      </x:c>
      <x:c r="F7" s="20" t="str">
        <x:v>合肥市</x:v>
      </x:c>
      <x:c r="G7" s="36" t="n">
        <x:v>46084</x:v>
      </x:c>
      <x:c r="H7" s="36" t="n">
        <x:v>46234</x:v>
      </x:c>
      <x:c r="I7" s="20" t="str">
        <x:v>BMS / PCS / 储能 / 嵌入式 / 软件</x:v>
      </x:c>
      <x:c r="J7" s="37" t="str">
        <x:v>自动化、电子信息专业、电气、机械、通信等理工科专业</x:v>
      </x:c>
      <x:c r="K7" s="20" t="str">
        <x:v>储能 / BMS</x:v>
      </x:c>
      <x:c r="L7" s="20" t="n">
        <x:v>30</x:v>
      </x:c>
      <x:c r="M7" s="34" t="str">
        <x:v>http://job.mohrss.gov.cn/cjobs/jobinfolist/cb21/showgw?id=78668523</x:v>
      </x:c>
    </x:row>
    <x:row r="8" ht="72" hidden="0" customHeight="1">
      <x:c r="A8" s="35" t="str">
        <x:v>中高</x:v>
      </x:c>
      <x:c r="B8" s="20" t="str">
        <x:v>中国公共招聘网</x:v>
      </x:c>
      <x:c r="C8" s="20" t="str">
        <x:v>控制算法研发工程师</x:v>
      </x:c>
      <x:c r="D8" s="20" t="str">
        <x:v>深圳市科曼医疗设备有限公司</x:v>
      </x:c>
      <x:c r="E8" s="20" t="str">
        <x:v>深圳市</x:v>
      </x:c>
      <x:c r="F8" s="20" t="str">
        <x:v>福田区</x:v>
      </x:c>
      <x:c r="G8" s="36" t="n">
        <x:v>46214</x:v>
      </x:c>
      <x:c r="H8" s="36" t="n">
        <x:v>46234</x:v>
      </x:c>
      <x:c r="I8" s="20" t="str">
        <x:v>C++ / DSP / 控制算法 / 嵌入式</x:v>
      </x:c>
      <x:c r="J8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8" s="20" t="str">
        <x:v>控制算法</x:v>
      </x:c>
      <x:c r="L8" s="20" t="n">
        <x:v>26</x:v>
      </x:c>
      <x:c r="M8" s="34" t="str">
        <x:v>http://job.mohrss.gov.cn/cjobs/jobinfolist/cb21/showgw?id=80713590</x:v>
      </x:c>
    </x:row>
    <x:row r="9" ht="72" hidden="0" customHeight="1">
      <x:c r="A9" s="35" t="str">
        <x:v>中高</x:v>
      </x:c>
      <x:c r="B9" s="20" t="str">
        <x:v>中国公共招聘网</x:v>
      </x:c>
      <x:c r="C9" s="20" t="str">
        <x:v>资深控制算法研发工程师</x:v>
      </x:c>
      <x:c r="D9" s="20" t="str">
        <x:v>深圳市科曼医疗设备有限公司</x:v>
      </x:c>
      <x:c r="E9" s="20" t="str">
        <x:v>深圳市</x:v>
      </x:c>
      <x:c r="F9" s="20" t="str">
        <x:v>福田区</x:v>
      </x:c>
      <x:c r="G9" s="36" t="n">
        <x:v>46214</x:v>
      </x:c>
      <x:c r="H9" s="36" t="n">
        <x:v>46234</x:v>
      </x:c>
      <x:c r="I9" s="20" t="str">
        <x:v>C++ / DSP / 控制算法 / 嵌入式</x:v>
      </x:c>
      <x:c r="J9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9" s="20" t="str">
        <x:v>控制算法</x:v>
      </x:c>
      <x:c r="L9" s="20" t="n">
        <x:v>26</x:v>
      </x:c>
      <x:c r="M9" s="34" t="str">
        <x:v>http://job.mohrss.gov.cn/cjobs/jobinfolist/cb21/showgw?id=80713605</x:v>
      </x:c>
    </x:row>
    <x:row r="10" ht="72" hidden="0" customHeight="1">
      <x:c r="A10" s="35" t="str">
        <x:v>中高</x:v>
      </x:c>
      <x:c r="B10" s="20" t="str">
        <x:v>中国公共招聘网</x:v>
      </x:c>
      <x:c r="C10" s="20" t="str">
        <x:v>资深控制算法研发工程师职位</x:v>
      </x:c>
      <x:c r="D10" s="20" t="str">
        <x:v>深圳市科曼医疗设备有限公司</x:v>
      </x:c>
      <x:c r="E10" s="20" t="str">
        <x:v>深圳市</x:v>
      </x:c>
      <x:c r="F10" s="20" t="str">
        <x:v>福田区</x:v>
      </x:c>
      <x:c r="G10" s="36" t="n">
        <x:v>46214</x:v>
      </x:c>
      <x:c r="H10" s="36" t="n">
        <x:v>46234</x:v>
      </x:c>
      <x:c r="I10" s="20" t="str">
        <x:v>C++ / DSP / 控制算法 / 嵌入式</x:v>
      </x:c>
      <x:c r="J10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0" s="20" t="str">
        <x:v>控制算法</x:v>
      </x:c>
      <x:c r="L10" s="20" t="n">
        <x:v>26</x:v>
      </x:c>
      <x:c r="M10" s="34" t="str">
        <x:v>http://job.mohrss.gov.cn/cjobs/jobinfolist/cb21/showgw?id=80714309</x:v>
      </x:c>
    </x:row>
    <x:row r="11" ht="72" hidden="0" customHeight="1">
      <x:c r="A11" s="35" t="str">
        <x:v>中高</x:v>
      </x:c>
      <x:c r="B11" s="20" t="str">
        <x:v>中国公共招聘网</x:v>
      </x:c>
      <x:c r="C11" s="20" t="str">
        <x:v>控制算法研发开发工程师岗位</x:v>
      </x:c>
      <x:c r="D11" s="20" t="str">
        <x:v>深圳市科曼医疗设备有限公司</x:v>
      </x:c>
      <x:c r="E11" s="20" t="str">
        <x:v>深圳市</x:v>
      </x:c>
      <x:c r="F11" s="20" t="str">
        <x:v>福田区</x:v>
      </x:c>
      <x:c r="G11" s="36" t="n">
        <x:v>46214</x:v>
      </x:c>
      <x:c r="H11" s="36" t="n">
        <x:v>46234</x:v>
      </x:c>
      <x:c r="I11" s="20" t="str">
        <x:v>C++ / DSP / 控制算法 / 嵌入式</x:v>
      </x:c>
      <x:c r="J11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1" s="20" t="str">
        <x:v>控制算法</x:v>
      </x:c>
      <x:c r="L11" s="20" t="n">
        <x:v>26</x:v>
      </x:c>
      <x:c r="M11" s="34" t="str">
        <x:v>http://job.mohrss.gov.cn/cjobs/jobinfolist/cb21/showgw?id=80714341</x:v>
      </x:c>
    </x:row>
    <x:row r="12" ht="72" hidden="0" customHeight="1">
      <x:c r="A12" s="35" t="str">
        <x:v>中高</x:v>
      </x:c>
      <x:c r="B12" s="20" t="str">
        <x:v>中国公共招聘网</x:v>
      </x:c>
      <x:c r="C12" s="20" t="str">
        <x:v>初级控制算法研发开发工程师</x:v>
      </x:c>
      <x:c r="D12" s="20" t="str">
        <x:v>深圳市科曼医疗设备有限公司</x:v>
      </x:c>
      <x:c r="E12" s="20" t="str">
        <x:v>深圳市</x:v>
      </x:c>
      <x:c r="F12" s="20" t="str">
        <x:v>福田区</x:v>
      </x:c>
      <x:c r="G12" s="36" t="n">
        <x:v>46214</x:v>
      </x:c>
      <x:c r="H12" s="36" t="n">
        <x:v>46234</x:v>
      </x:c>
      <x:c r="I12" s="20" t="str">
        <x:v>C++ / DSP / 控制算法 / 嵌入式</x:v>
      </x:c>
      <x:c r="J12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2" s="20" t="str">
        <x:v>控制算法</x:v>
      </x:c>
      <x:c r="L12" s="20" t="n">
        <x:v>26</x:v>
      </x:c>
      <x:c r="M12" s="34" t="str">
        <x:v>http://job.mohrss.gov.cn/cjobs/jobinfolist/cb21/showgw?id=80713893</x:v>
      </x:c>
    </x:row>
    <x:row r="13" ht="72" hidden="0" customHeight="1">
      <x:c r="A13" s="35" t="str">
        <x:v>中高</x:v>
      </x:c>
      <x:c r="B13" s="20" t="str">
        <x:v>中国公共招聘网</x:v>
      </x:c>
      <x:c r="C13" s="20" t="str">
        <x:v>中级控制算法研发研发工程师</x:v>
      </x:c>
      <x:c r="D13" s="20" t="str">
        <x:v>深圳市科曼医疗设备有限公司</x:v>
      </x:c>
      <x:c r="E13" s="20" t="str">
        <x:v>深圳市</x:v>
      </x:c>
      <x:c r="F13" s="20" t="str">
        <x:v>福田区</x:v>
      </x:c>
      <x:c r="G13" s="36" t="n">
        <x:v>46214</x:v>
      </x:c>
      <x:c r="H13" s="36" t="n">
        <x:v>46234</x:v>
      </x:c>
      <x:c r="I13" s="20" t="str">
        <x:v>C++ / DSP / 控制算法 / 嵌入式</x:v>
      </x:c>
      <x:c r="J13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3" s="20" t="str">
        <x:v>控制算法</x:v>
      </x:c>
      <x:c r="L13" s="20" t="n">
        <x:v>26</x:v>
      </x:c>
      <x:c r="M13" s="34" t="str">
        <x:v>http://job.mohrss.gov.cn/cjobs/jobinfolist/cb21/showgw?id=80713272</x:v>
      </x:c>
    </x:row>
    <x:row r="14" ht="72" hidden="0" customHeight="1">
      <x:c r="A14" s="35" t="str">
        <x:v>中高</x:v>
      </x:c>
      <x:c r="B14" s="20" t="str">
        <x:v>中国公共招聘网</x:v>
      </x:c>
      <x:c r="C14" s="20" t="str">
        <x:v>控制算法研发技术工程师职位</x:v>
      </x:c>
      <x:c r="D14" s="20" t="str">
        <x:v>深圳市科曼医疗设备有限公司</x:v>
      </x:c>
      <x:c r="E14" s="20" t="str">
        <x:v>深圳市</x:v>
      </x:c>
      <x:c r="F14" s="20" t="str">
        <x:v>福田区</x:v>
      </x:c>
      <x:c r="G14" s="36" t="n">
        <x:v>46214</x:v>
      </x:c>
      <x:c r="H14" s="36" t="n">
        <x:v>46234</x:v>
      </x:c>
      <x:c r="I14" s="20" t="str">
        <x:v>C++ / DSP / 控制算法 / 嵌入式</x:v>
      </x:c>
      <x:c r="J14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4" s="20" t="str">
        <x:v>控制算法</x:v>
      </x:c>
      <x:c r="L14" s="20" t="n">
        <x:v>26</x:v>
      </x:c>
      <x:c r="M14" s="34" t="str">
        <x:v>http://job.mohrss.gov.cn/cjobs/jobinfolist/cb21/showgw?id=80713459</x:v>
      </x:c>
    </x:row>
    <x:row r="15" ht="72" hidden="0" customHeight="1">
      <x:c r="A15" s="35" t="str">
        <x:v>中高</x:v>
      </x:c>
      <x:c r="B15" s="20" t="str">
        <x:v>中国公共招聘网</x:v>
      </x:c>
      <x:c r="C15" s="20" t="str">
        <x:v>资深控制算法研发研发工程师职位</x:v>
      </x:c>
      <x:c r="D15" s="20" t="str">
        <x:v>深圳市科曼医疗设备有限公司</x:v>
      </x:c>
      <x:c r="E15" s="20" t="str">
        <x:v>深圳市</x:v>
      </x:c>
      <x:c r="F15" s="20" t="str">
        <x:v>福田区</x:v>
      </x:c>
      <x:c r="G15" s="36" t="n">
        <x:v>46214</x:v>
      </x:c>
      <x:c r="H15" s="36" t="n">
        <x:v>46234</x:v>
      </x:c>
      <x:c r="I15" s="20" t="str">
        <x:v>C++ / DSP / 控制算法 / 嵌入式</x:v>
      </x:c>
      <x:c r="J15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5" s="20" t="str">
        <x:v>控制算法</x:v>
      </x:c>
      <x:c r="L15" s="20" t="n">
        <x:v>26</x:v>
      </x:c>
      <x:c r="M15" s="34" t="str">
        <x:v>http://job.mohrss.gov.cn/cjobs/jobinfolist/cb21/showgw?id=80714642</x:v>
      </x:c>
    </x:row>
    <x:row r="16" ht="72" hidden="0" customHeight="1">
      <x:c r="A16" s="35" t="str">
        <x:v>中高</x:v>
      </x:c>
      <x:c r="B16" s="20" t="str">
        <x:v>中国公共招聘网</x:v>
      </x:c>
      <x:c r="C16" s="20" t="str">
        <x:v>首席控制算法研发研发工程师岗位</x:v>
      </x:c>
      <x:c r="D16" s="20" t="str">
        <x:v>深圳市科曼医疗设备有限公司</x:v>
      </x:c>
      <x:c r="E16" s="20" t="str">
        <x:v>深圳市</x:v>
      </x:c>
      <x:c r="F16" s="20" t="str">
        <x:v>福田区</x:v>
      </x:c>
      <x:c r="G16" s="36" t="n">
        <x:v>46214</x:v>
      </x:c>
      <x:c r="H16" s="36" t="n">
        <x:v>46234</x:v>
      </x:c>
      <x:c r="I16" s="20" t="str">
        <x:v>C++ / DSP / 控制算法 / 嵌入式</x:v>
      </x:c>
      <x:c r="J16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6" s="20" t="str">
        <x:v>控制算法</x:v>
      </x:c>
      <x:c r="L16" s="20" t="n">
        <x:v>26</x:v>
      </x:c>
      <x:c r="M16" s="34" t="str">
        <x:v>http://job.mohrss.gov.cn/cjobs/jobinfolist/cb21/showgw?id=80714132</x:v>
      </x:c>
    </x:row>
    <x:row r="17" ht="72" hidden="0" customHeight="1">
      <x:c r="A17" s="35" t="str">
        <x:v>中高</x:v>
      </x:c>
      <x:c r="B17" s="20" t="str">
        <x:v>中国公共招聘网</x:v>
      </x:c>
      <x:c r="C17" s="20" t="str">
        <x:v>首席控制算法研发技术工程师岗位</x:v>
      </x:c>
      <x:c r="D17" s="20" t="str">
        <x:v>深圳市科曼医疗设备有限公司</x:v>
      </x:c>
      <x:c r="E17" s="20" t="str">
        <x:v>深圳市</x:v>
      </x:c>
      <x:c r="F17" s="20" t="str">
        <x:v>福田区</x:v>
      </x:c>
      <x:c r="G17" s="36" t="n">
        <x:v>46214</x:v>
      </x:c>
      <x:c r="H17" s="36" t="n">
        <x:v>46234</x:v>
      </x:c>
      <x:c r="I17" s="20" t="str">
        <x:v>C++ / DSP / 控制算法 / 嵌入式</x:v>
      </x:c>
      <x:c r="J17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7" s="20" t="str">
        <x:v>控制算法</x:v>
      </x:c>
      <x:c r="L17" s="20" t="n">
        <x:v>26</x:v>
      </x:c>
      <x:c r="M17" s="34" t="str">
        <x:v>http://job.mohrss.gov.cn/cjobs/jobinfolist/cb21/showgw?id=80713802</x:v>
      </x:c>
    </x:row>
    <x:row r="18" ht="72" hidden="0" customHeight="1">
      <x:c r="A18" s="35" t="str">
        <x:v>中高</x:v>
      </x:c>
      <x:c r="B18" s="20" t="str">
        <x:v>中国公共招聘网</x:v>
      </x:c>
      <x:c r="C18" s="20" t="str">
        <x:v>首席控制算法研发开发工程师职位</x:v>
      </x:c>
      <x:c r="D18" s="20" t="str">
        <x:v>深圳市科曼医疗设备有限公司</x:v>
      </x:c>
      <x:c r="E18" s="20" t="str">
        <x:v>深圳市</x:v>
      </x:c>
      <x:c r="F18" s="20" t="str">
        <x:v>福田区</x:v>
      </x:c>
      <x:c r="G18" s="36" t="n">
        <x:v>46214</x:v>
      </x:c>
      <x:c r="H18" s="36" t="n">
        <x:v>46234</x:v>
      </x:c>
      <x:c r="I18" s="20" t="str">
        <x:v>C++ / DSP / 控制算法 / 嵌入式</x:v>
      </x:c>
      <x:c r="J18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8" s="20" t="str">
        <x:v>控制算法</x:v>
      </x:c>
      <x:c r="L18" s="20" t="n">
        <x:v>26</x:v>
      </x:c>
      <x:c r="M18" s="34" t="str">
        <x:v>http://job.mohrss.gov.cn/cjobs/jobinfolist/cb21/showgw?id=80713542</x:v>
      </x:c>
    </x:row>
    <x:row r="19" ht="72" hidden="0" customHeight="1">
      <x:c r="A19" s="35" t="str">
        <x:v>中高</x:v>
      </x:c>
      <x:c r="B19" s="20" t="str">
        <x:v>中国公共招聘网</x:v>
      </x:c>
      <x:c r="C19" s="20" t="str">
        <x:v>高级控制算法研发开发工程师岗位</x:v>
      </x:c>
      <x:c r="D19" s="20" t="str">
        <x:v>深圳市科曼医疗设备有限公司</x:v>
      </x:c>
      <x:c r="E19" s="20" t="str">
        <x:v>深圳市</x:v>
      </x:c>
      <x:c r="F19" s="20" t="str">
        <x:v>福田区</x:v>
      </x:c>
      <x:c r="G19" s="36" t="n">
        <x:v>46214</x:v>
      </x:c>
      <x:c r="H19" s="36" t="n">
        <x:v>46234</x:v>
      </x:c>
      <x:c r="I19" s="20" t="str">
        <x:v>C++ / DSP / 控制算法 / 嵌入式</x:v>
      </x:c>
      <x:c r="J19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19" s="20" t="str">
        <x:v>控制算法</x:v>
      </x:c>
      <x:c r="L19" s="20" t="n">
        <x:v>26</x:v>
      </x:c>
      <x:c r="M19" s="34" t="str">
        <x:v>http://job.mohrss.gov.cn/cjobs/jobinfolist/cb21/showgw?id=80713167</x:v>
      </x:c>
    </x:row>
    <x:row r="20" ht="72" hidden="0" customHeight="1">
      <x:c r="A20" s="35" t="str">
        <x:v>高</x:v>
      </x:c>
      <x:c r="B20" s="20" t="str">
        <x:v>中国公共招聘网</x:v>
      </x:c>
      <x:c r="C20" s="20" t="str">
        <x:v>嵌入式软件工程师</x:v>
      </x:c>
      <x:c r="D20" s="20" t="str">
        <x:v>广东力盾新能源科技有限公司</x:v>
      </x:c>
      <x:c r="E20" s="20" t="str">
        <x:v>东莞市</x:v>
      </x:c>
      <x:c r="F20" s="20" t="str">
        <x:v>东莞市</x:v>
      </x:c>
      <x:c r="G20" s="36" t="n">
        <x:v>46225</x:v>
      </x:c>
      <x:c r="H20" s="36" t="n">
        <x:v>46246</x:v>
      </x:c>
      <x:c r="I20" s="20" t="str">
        <x:v>BMS / STM32 / CAN / 储能 / 嵌入式 / 软件</x:v>
      </x:c>
      <x:c r="J20" s="37" t="str">
        <x:v>岗位职责1、嵌入式STM32系列软件的程序设计及代码编写，调试、测试；2、有关技术方案文档编写；3、负责新能源相关产品充电桩、充电机、储能、BMS等嵌入式软性系统编写；4、熟悉软件静态测试和动态测试，能够有独自编写测试案例的能力；5、配合其它软件工程师协同工作。任职要求1、计算机、电气自动化、通讯、电子信息、应用电子、仪表控制等相关专业，大专以上学历，精通…</x:v>
      </x:c>
      <x:c r="K20" s="20" t="str">
        <x:v>储能 / BMS</x:v>
      </x:c>
      <x:c r="L20" s="20" t="n">
        <x:v>25</x:v>
      </x:c>
      <x:c r="M20" s="34" t="str">
        <x:v>http://job.mohrss.gov.cn/cjobs/jobinfolist/cb21/showgw?id=80783470</x:v>
      </x:c>
    </x:row>
    <x:row r="21" ht="72" hidden="0" customHeight="1">
      <x:c r="A21" s="35" t="str">
        <x:v>高</x:v>
      </x:c>
      <x:c r="B21" s="20" t="str">
        <x:v>中国公共招聘网</x:v>
      </x:c>
      <x:c r="C21" s="20" t="str">
        <x:v>系统集成工程师</x:v>
      </x:c>
      <x:c r="D21" s="20" t="str">
        <x:v>惠州市辉翰集装箱制造有限公司</x:v>
      </x:c>
      <x:c r="E21" s="20" t="str">
        <x:v>广东省</x:v>
      </x:c>
      <x:c r="F21" s="20" t="str">
        <x:v>惠城区</x:v>
      </x:c>
      <x:c r="G21" s="36" t="n">
        <x:v>46209</x:v>
      </x:c>
      <x:c r="H21" s="36" t="n">
        <x:v>46239</x:v>
      </x:c>
      <x:c r="I21" s="20" t="str">
        <x:v>BMS / EMS / PCS / 储能 / 系统集成</x:v>
      </x:c>
      <x:c r="J21" s="37" t="str">
        <x:v>1.？负责储能系统整体架构搭建，涵盖PCS、BMS、EMS及消防、热管理系统的集成融合，完成集装箱储能等场景的布局与电气设计，同时做好核心设备选型与参数匹配。2.？主导储能系统技术攻关，比如电池热管理优化、系统能效提升等；开展系统仿真分析与控制策略编制，推动产品迭代，还可参与专利编写与技术成果转化。3.？前期对接客户需求，勘察现场并编制可行性分析报告与技术…</x:v>
      </x:c>
      <x:c r="K21" s="20" t="str">
        <x:v>储能 / BMS / EMS</x:v>
      </x:c>
      <x:c r="L21" s="20" t="n">
        <x:v>25</x:v>
      </x:c>
      <x:c r="M21" s="34" t="str">
        <x:v>http://job.mohrss.gov.cn/cjobs/jobinfolist/cb21/showgw?id=80654104</x:v>
      </x:c>
    </x:row>
    <x:row r="22" ht="72" hidden="0" customHeight="1">
      <x:c r="A22" s="35" t="str">
        <x:v>中</x:v>
      </x:c>
      <x:c r="B22" s="20" t="str">
        <x:v>中国公共招聘网</x:v>
      </x:c>
      <x:c r="C22" s="20" t="str">
        <x:v>微电网解决方案工程师</x:v>
      </x:c>
      <x:c r="D22" s="20" t="str">
        <x:v>江苏国富氢能技术装备股份有限公司</x:v>
      </x:c>
      <x:c r="E22" s="20" t="str">
        <x:v>江苏省</x:v>
      </x:c>
      <x:c r="F22" s="20" t="str">
        <x:v>张家港市</x:v>
      </x:c>
      <x:c r="G22" s="36" t="n">
        <x:v>46205</x:v>
      </x:c>
      <x:c r="H22" s="36" t="n">
        <x:v>46236</x:v>
      </x:c>
      <x:c r="I22" s="20" t="str">
        <x:v>BMS / EMS / PCS / 储能 / 软件 / 微电网</x:v>
      </x:c>
      <x:c r="J22" s="37" t="str">
        <x:v>岗位职责：1.项目解决方方案提供，拉通公司技术部门及业务部门，根据公司产品及业务部门需求，制定完整的解决方案；2.持续进行客户需求分析与管理，定期收集行业技术动态、同类产品技术信息、竞品信息，配合完成产品路线规划，形成新产品初步方案；3.负责公司储能、微电网等领域的系统总体解决方案设计和电气系统设计，提供解决方案技术支持等；4.负责风光储充氢等分布式能源、…</x:v>
      </x:c>
      <x:c r="K22" s="20" t="str">
        <x:v>储能 / BMS / EMS</x:v>
      </x:c>
      <x:c r="L22" s="20" t="n">
        <x:v>24</x:v>
      </x:c>
      <x:c r="M22" s="34" t="str">
        <x:v>http://job.mohrss.gov.cn/cjobs/jobinfolist/cb21/showgw?id=80641300</x:v>
      </x:c>
    </x:row>
    <x:row r="23" ht="72" hidden="0" customHeight="1">
      <x:c r="A23" s="35" t="str">
        <x:v>高</x:v>
      </x:c>
      <x:c r="B23" s="20" t="str">
        <x:v>中国公共招聘网</x:v>
      </x:c>
      <x:c r="C23" s="20" t="str">
        <x:v>嵌入式软件开发工程师</x:v>
      </x:c>
      <x:c r="D23" s="20" t="str">
        <x:v>苏文电能科技股份有限公司</x:v>
      </x:c>
      <x:c r="E23" s="20" t="str">
        <x:v>江苏省</x:v>
      </x:c>
      <x:c r="F23" s="20" t="str">
        <x:v>武进区</x:v>
      </x:c>
      <x:c r="G23" s="36" t="n">
        <x:v>46205</x:v>
      </x:c>
      <x:c r="H23" s="36" t="n">
        <x:v>46236</x:v>
      </x:c>
      <x:c r="I23" s="20" t="str">
        <x:v>EMS / C++ / Linux / 储能 / 嵌入式 / 软件 / 微电网</x:v>
      </x:c>
      <x:c r="J23" s="37" t="str">
        <x:v>岗位职责：1、负责通信设备的协议开发和功能优化，通过软件、硬件的改良优化设备的边缘计算能力，提升设备运行的稳定性2、优化通信设备的上位机调试工具，对接实施的功能需求，配合排查、解决、维护设备出现的问题3、负责储能EMS的功能迭代，优化策略、算法，从效率、安全、准确等角度提升储能性能，对接平台数据接口和配套功能4、规划并设计各类综合能源服务、微电网系统和工商…</x:v>
      </x:c>
      <x:c r="K23" s="20" t="str">
        <x:v>储能 / EMS</x:v>
      </x:c>
      <x:c r="L23" s="20" t="n">
        <x:v>24</x:v>
      </x:c>
      <x:c r="M23" s="34" t="str">
        <x:v>http://job.mohrss.gov.cn/cjobs/jobinfolist/cb21/showgw?id=80609448</x:v>
      </x:c>
    </x:row>
    <x:row r="24" ht="72" hidden="0" customHeight="1">
      <x:c r="A24" s="35" t="str">
        <x:v>高</x:v>
      </x:c>
      <x:c r="B24" s="20" t="str">
        <x:v>中国公共招聘网</x:v>
      </x:c>
      <x:c r="C24" s="20" t="str">
        <x:v>C++软件开发工程师（新能源）</x:v>
      </x:c>
      <x:c r="D24" s="20" t="str">
        <x:v>中创新航科技集团股份有限公司</x:v>
      </x:c>
      <x:c r="E24" s="20" t="str">
        <x:v>江苏省</x:v>
      </x:c>
      <x:c r="F24" s="20" t="str">
        <x:v>金坛区</x:v>
      </x:c>
      <x:c r="G24" s="36" t="n">
        <x:v>46205</x:v>
      </x:c>
      <x:c r="H24" s="36" t="n">
        <x:v>46236</x:v>
      </x:c>
      <x:c r="I24" s="20" t="str">
        <x:v>EMS / C++ / Linux / CAN / 储能 / 嵌入式 / 软件</x:v>
      </x:c>
      <x:c r="J24" s="37" t="str">
        <x:v>【岗位职责】（1）负责储能系统中边缘计算设备（如EMS边缘网关、数据采集终端、通信管理机等）的嵌入式软件设计与开发；（2）开发和维护ModbusRTU/TCP、IEC60870-5-104、IEC61850（MMS/GOOSE）、CAN、DL/T645等电力/工业协议的解析与封装模块；实现与现场设备的稳定、高效通信。（2）针对Linux环境，优化任务调度、…</x:v>
      </x:c>
      <x:c r="K24" s="20" t="str">
        <x:v>储能 / EMS</x:v>
      </x:c>
      <x:c r="L24" s="20" t="n">
        <x:v>24</x:v>
      </x:c>
      <x:c r="M24" s="34" t="str">
        <x:v>http://job.mohrss.gov.cn/cjobs/jobinfolist/cb21/showgw?id=80609547</x:v>
      </x:c>
    </x:row>
    <x:row r="25" ht="72" hidden="0" customHeight="1">
      <x:c r="A25" s="35" t="str">
        <x:v>中</x:v>
      </x:c>
      <x:c r="B25" s="20" t="str">
        <x:v>中国公共招聘网</x:v>
      </x:c>
      <x:c r="C25" s="20" t="str">
        <x:v>PACK结构工程师</x:v>
      </x:c>
      <x:c r="D25" s="20" t="str">
        <x:v>江门雷恩电池科技有限公司</x:v>
      </x:c>
      <x:c r="E25" s="20" t="str">
        <x:v>江门市</x:v>
      </x:c>
      <x:c r="F25" s="20" t="str">
        <x:v>新会区</x:v>
      </x:c>
      <x:c r="G25" s="36" t="n">
        <x:v>46226</x:v>
      </x:c>
      <x:c r="H25" s="36" t="n">
        <x:v>46257</x:v>
      </x:c>
      <x:c r="I25" s="20" t="str">
        <x:v>BMS / EMS / PCS / 储能 / 系统集成</x:v>
      </x:c>
      <x:c r="J25" s="37" t="str">
        <x:v>1、专科及以上学历，3年以上储能行业经验，电气工程、电力电子、自动化、能源与动力工程、电化学、材料科学、机电一体化（结构设计）专业。2、技能要求：技术能力（能力维度、系统设计与仿真、组件技术BMS、PCS、EMS)测试与认证、编程与算法。3、工程实践能力、系统集成（PACK、PCS、消防），问题解决（热失控、故障分析、通信中断）。4、沟通协作，协调研发、生…</x:v>
      </x:c>
      <x:c r="K25" s="20" t="str">
        <x:v>储能 / BMS / EMS</x:v>
      </x:c>
      <x:c r="L25" s="20" t="n">
        <x:v>23</x:v>
      </x:c>
      <x:c r="M25" s="34" t="str">
        <x:v>http://job.mohrss.gov.cn/cjobs/jobinfolist/cb21/showgw?id=80778000</x:v>
      </x:c>
    </x:row>
    <x:row r="26" ht="72" hidden="0" customHeight="1">
      <x:c r="A26" s="35" t="str">
        <x:v>中高</x:v>
      </x:c>
      <x:c r="B26" s="20" t="str">
        <x:v>中国公共招聘网</x:v>
      </x:c>
      <x:c r="C26" s="20" t="str">
        <x:v>DSP软件工程师</x:v>
      </x:c>
      <x:c r="D26" s="20" t="str">
        <x:v>广东力盾新能源科技有限公司</x:v>
      </x:c>
      <x:c r="E26" s="20" t="str">
        <x:v>东莞市</x:v>
      </x:c>
      <x:c r="F26" s="20" t="str">
        <x:v>东莞市</x:v>
      </x:c>
      <x:c r="G26" s="36" t="n">
        <x:v>46225</x:v>
      </x:c>
      <x:c r="H26" s="36" t="n">
        <x:v>46246</x:v>
      </x:c>
      <x:c r="I26" s="20" t="str">
        <x:v>DSP / CAN / 控制算法 / 软件</x:v>
      </x:c>
      <x:c r="J26" s="37" t="str">
        <x:v>岗位职责1.根据数字电源产品功能需求，设计软件控制、逻辑功能及协助完成显示及通讯方案；2.负责产品软件编程，调试，仿真及建模，保证达到产品各项功能指标；3.管理好负责项目的各种文档、代码的交付件质量、数量和进度；4.量产软件的维护升级，测试工作，和客户需求的软件修改工作；5.负责产品软件部分核心技术攻关，新技术研究；6.负责开发和维护产品的统一程序架构，发…</x:v>
      </x:c>
      <x:c r="K26" s="20" t="str">
        <x:v>控制算法</x:v>
      </x:c>
      <x:c r="L26" s="20" t="n">
        <x:v>23</x:v>
      </x:c>
      <x:c r="M26" s="34" t="str">
        <x:v>http://job.mohrss.gov.cn/cjobs/jobinfolist/cb21/showgw?id=80782084</x:v>
      </x:c>
    </x:row>
    <x:row r="27" ht="72" hidden="0" customHeight="1">
      <x:c r="A27" s="35" t="str">
        <x:v>中高</x:v>
      </x:c>
      <x:c r="B27" s="20" t="str">
        <x:v>中国公共招聘网</x:v>
      </x:c>
      <x:c r="C27" s="20" t="str">
        <x:v>电机控制算法工程师</x:v>
      </x:c>
      <x:c r="D27" s="20" t="str">
        <x:v>广东熙斯特新能源技术有限公司</x:v>
      </x:c>
      <x:c r="E27" s="20" t="str">
        <x:v>深圳市</x:v>
      </x:c>
      <x:c r="F27" s="20" t="str">
        <x:v>深圳市</x:v>
      </x:c>
      <x:c r="G27" s="36" t="n">
        <x:v>46219</x:v>
      </x:c>
      <x:c r="H27" s="36" t="n">
        <x:v>46250</x:v>
      </x:c>
      <x:c r="I27" s="20" t="str">
        <x:v>控制算法 / 软件</x:v>
      </x:c>
      <x:c r="J27" s="37" t="str">
        <x:v>公司官网：www.evsystem.net，求职者需要将简历先投递邮箱：zhangjiaqi@evsystem.net(接受一本及以上本科/硕士应届毕业生)岗位职责1、负责汽车领域各种电机控制算法（包含直流无刷电机，BLDC，PMSM等）的开发，完成所需的功能设计、算法开发、模型仿真、软件编写、调试等工作；2、负责电机控制算法的性能优化；3、负责基础算法库…</x:v>
      </x:c>
      <x:c r="K27" s="20" t="str">
        <x:v>控制算法</x:v>
      </x:c>
      <x:c r="L27" s="20" t="n">
        <x:v>23</x:v>
      </x:c>
      <x:c r="M27" s="34" t="str">
        <x:v>http://job.mohrss.gov.cn/cjobs/jobinfolist/cb21/showgw?id=80748499</x:v>
      </x:c>
    </x:row>
    <x:row r="28" ht="72" hidden="0" customHeight="1">
      <x:c r="A28" s="35" t="str">
        <x:v>中高</x:v>
      </x:c>
      <x:c r="B28" s="20" t="str">
        <x:v>中国公共招聘网</x:v>
      </x:c>
      <x:c r="C28" s="20" t="str">
        <x:v>(YZ)-运动系统机电控制工程师</x:v>
      </x:c>
      <x:c r="D28" s="20" t="str">
        <x:v>珠海翔翼航空技术有限公司</x:v>
      </x:c>
      <x:c r="E28" s="20" t="str">
        <x:v>珠海市</x:v>
      </x:c>
      <x:c r="F28" s="20" t="str">
        <x:v>香洲区</x:v>
      </x:c>
      <x:c r="G28" s="36" t="n">
        <x:v>46226</x:v>
      </x:c>
      <x:c r="H28" s="36" t="n">
        <x:v>46254</x:v>
      </x:c>
      <x:c r="I28" s="20" t="str">
        <x:v>控制算法 / 软件</x:v>
      </x:c>
      <x:c r="J28" s="37" t="str">
        <x:v>岗位职责：1.负责产品开发中的电机（直流无刷电机、直驱电机等）及驱动器选型适配等；2.负责PLC控制器/运动控制卡的控制算法及驱动软件设计与调试；3.负责电机及控制器的安装调试及性能测试等工作；4.协同硬件、结构人员共同完成系统整机联调。任职要求：1.硕士及以上学历，电力电子、自动化、电机控制类相关专业，3年以上电机控制工作经验，具有扎实的电机控制理论基础…</x:v>
      </x:c>
      <x:c r="K28" s="20" t="str">
        <x:v>控制算法</x:v>
      </x:c>
      <x:c r="L28" s="20" t="n">
        <x:v>22</x:v>
      </x:c>
      <x:c r="M28" s="34" t="str">
        <x:v>http://job.mohrss.gov.cn/cjobs/jobinfolist/cb21/showgw?id=80777486</x:v>
      </x:c>
    </x:row>
    <x:row r="29" ht="72" hidden="0" customHeight="1">
      <x:c r="A29" s="35" t="str">
        <x:v>中高</x:v>
      </x:c>
      <x:c r="B29" s="20" t="str">
        <x:v>中国公共招聘网</x:v>
      </x:c>
      <x:c r="C29" s="20" t="str">
        <x:v>(YZ)-运动系统仿真算法工程师</x:v>
      </x:c>
      <x:c r="D29" s="20" t="str">
        <x:v>珠海翔翼航空技术有限公司</x:v>
      </x:c>
      <x:c r="E29" s="20" t="str">
        <x:v>珠海市</x:v>
      </x:c>
      <x:c r="F29" s="20" t="str">
        <x:v>香洲区</x:v>
      </x:c>
      <x:c r="G29" s="36" t="n">
        <x:v>46226</x:v>
      </x:c>
      <x:c r="H29" s="36" t="n">
        <x:v>46254</x:v>
      </x:c>
      <x:c r="I29" s="20" t="str">
        <x:v>C++ / 控制算法 / 软件</x:v>
      </x:c>
      <x:c r="J29" s="37" t="str">
        <x:v>岗位职责：负责运动平台等机电产品算法的设计、开发、调试、相关文档编写的工作。任职要求：1.硕士及以上学历，机械/力学/航空航天/车辆/船舶等相关专业毕业；2.熟练使用Matlab,Simulink软件，具备C++语言编程能力；3.熟悉掌握机电建模技术，具备运动系统洗出算法研究工作经验优先；4.较好数学功底，具有运动控制理论基础，熟悉伺服多轴控制，轨迹规划，…</x:v>
      </x:c>
      <x:c r="K29" s="20" t="str">
        <x:v>控制算法</x:v>
      </x:c>
      <x:c r="L29" s="20" t="n">
        <x:v>22</x:v>
      </x:c>
      <x:c r="M29" s="34" t="str">
        <x:v>http://job.mohrss.gov.cn/cjobs/jobinfolist/cb21/showgw?id=80777495</x:v>
      </x:c>
    </x:row>
    <x:row r="30" ht="72" hidden="0" customHeight="1">
      <x:c r="A30" s="35" t="str">
        <x:v>中高</x:v>
      </x:c>
      <x:c r="B30" s="20" t="str">
        <x:v>中国公共招聘网</x:v>
      </x:c>
      <x:c r="C30" s="20" t="str">
        <x:v>嵌入式工程师</x:v>
      </x:c>
      <x:c r="D30" s="20" t="str">
        <x:v>常州辉途智能科技有限公司</x:v>
      </x:c>
      <x:c r="E30" s="20" t="str">
        <x:v>江苏省</x:v>
      </x:c>
      <x:c r="F30" s="20" t="str">
        <x:v>天宁区</x:v>
      </x:c>
      <x:c r="G30" s="36" t="n">
        <x:v>46205</x:v>
      </x:c>
      <x:c r="H30" s="36" t="n">
        <x:v>46236</x:v>
      </x:c>
      <x:c r="I30" s="20" t="str">
        <x:v>控制算法 / 嵌入式</x:v>
      </x:c>
      <x:c r="J30" s="37" t="str">
        <x:v>岗位职责1.负责PMSM（永磁同步电机）控制板的全流程研发，包括需求分析、方案设计、原理图绘制、PCBLayout、元器件选型及BOM编制。2.负责PMSM电机控制算法的设计、仿真、调试与优化，涵盖FOC（磁场定向控制）、SVPWM（空间矢量脉宽调制）、矢量控制等核心算法，提升电机控制精度、效率及稳定性。3.搭建电机控制板测试平台，完成硬件功能测试、性能测…</x:v>
      </x:c>
      <x:c r="K30" s="20" t="str">
        <x:v>控制算法</x:v>
      </x:c>
      <x:c r="L30" s="20" t="n">
        <x:v>22</x:v>
      </x:c>
      <x:c r="M30" s="34" t="str">
        <x:v>http://job.mohrss.gov.cn/cjobs/jobinfolist/cb21/showgw?id=80609485</x:v>
      </x:c>
    </x:row>
    <x:row r="31" ht="72" hidden="0" customHeight="1">
      <x:c r="A31" s="35" t="str">
        <x:v>中高</x:v>
      </x:c>
      <x:c r="B31" s="20" t="str">
        <x:v>中国公共招聘网</x:v>
      </x:c>
      <x:c r="C31" s="20" t="str">
        <x:v>中级控制算法研发专员</x:v>
      </x:c>
      <x:c r="D31" s="20" t="str">
        <x:v>深圳市科曼医疗设备有限公司</x:v>
      </x:c>
      <x:c r="E31" s="20" t="str">
        <x:v>深圳市</x:v>
      </x:c>
      <x:c r="F31" s="20" t="str">
        <x:v>福田区</x:v>
      </x:c>
      <x:c r="G31" s="36" t="n">
        <x:v>46214</x:v>
      </x:c>
      <x:c r="H31" s="36" t="n">
        <x:v>46234</x:v>
      </x:c>
      <x:c r="I31" s="20" t="str">
        <x:v>C++ / DSP / 控制算法 / 嵌入式</x:v>
      </x:c>
      <x:c r="J31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31" s="20" t="str">
        <x:v>控制算法</x:v>
      </x:c>
      <x:c r="L31" s="20" t="n">
        <x:v>22</x:v>
      </x:c>
      <x:c r="M31" s="34" t="str">
        <x:v>http://job.mohrss.gov.cn/cjobs/jobinfolist/cb21/showgw?id=80714773</x:v>
      </x:c>
    </x:row>
    <x:row r="32" ht="72" hidden="0" customHeight="1">
      <x:c r="A32" s="35" t="str">
        <x:v>中高</x:v>
      </x:c>
      <x:c r="B32" s="20" t="str">
        <x:v>中国公共招聘网</x:v>
      </x:c>
      <x:c r="C32" s="20" t="str">
        <x:v>高级控制算法研发技术员</x:v>
      </x:c>
      <x:c r="D32" s="20" t="str">
        <x:v>深圳市科曼医疗设备有限公司</x:v>
      </x:c>
      <x:c r="E32" s="20" t="str">
        <x:v>深圳市</x:v>
      </x:c>
      <x:c r="F32" s="20" t="str">
        <x:v>福田区</x:v>
      </x:c>
      <x:c r="G32" s="36" t="n">
        <x:v>46214</x:v>
      </x:c>
      <x:c r="H32" s="36" t="n">
        <x:v>46234</x:v>
      </x:c>
      <x:c r="I32" s="20" t="str">
        <x:v>C++ / DSP / 控制算法 / 嵌入式</x:v>
      </x:c>
      <x:c r="J32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32" s="20" t="str">
        <x:v>控制算法</x:v>
      </x:c>
      <x:c r="L32" s="20" t="n">
        <x:v>22</x:v>
      </x:c>
      <x:c r="M32" s="34" t="str">
        <x:v>http://job.mohrss.gov.cn/cjobs/jobinfolist/cb21/showgw?id=80713357</x:v>
      </x:c>
    </x:row>
    <x:row r="33" ht="72" hidden="0" customHeight="1">
      <x:c r="A33" s="35" t="str">
        <x:v>高</x:v>
      </x:c>
      <x:c r="B33" s="20" t="str">
        <x:v>中国公共招聘网</x:v>
      </x:c>
      <x:c r="C33" s="20" t="str">
        <x:v>储能研发工程师</x:v>
      </x:c>
      <x:c r="D33" s="20" t="str">
        <x:v>广东通源环境科技有限公司</x:v>
      </x:c>
      <x:c r="E33" s="20" t="str">
        <x:v>广东省</x:v>
      </x:c>
      <x:c r="F33" s="20" t="str">
        <x:v>惠城区</x:v>
      </x:c>
      <x:c r="G33" s="36" t="n">
        <x:v>46209</x:v>
      </x:c>
      <x:c r="H33" s="36" t="n">
        <x:v>46234</x:v>
      </x:c>
      <x:c r="I33" s="20" t="str">
        <x:v>BMS / EMS / 储能</x:v>
      </x:c>
      <x:c r="J33" s="37" t="str">
        <x:v>职责：1、负责PACK产品串并串联的工艺设计、保护板方案选型确认；2、负责大型储能、户储产品的整体解决方案设计3、负责储能产品研发及调试工作要求：1、大专以上学历，电子/电气相关专业2、锂电池储能产品或大型集装箱储能设备工艺工程实际工作经验2年以上3、熟悉锂离子电池保护电路工作原理，用途和方法，熟练掌握电池串并连PACK设计和控制4、熟悉BMS和EMS的系…</x:v>
      </x:c>
      <x:c r="K33" s="20" t="str">
        <x:v>储能 / BMS / EMS</x:v>
      </x:c>
      <x:c r="L33" s="20" t="n">
        <x:v>22</x:v>
      </x:c>
      <x:c r="M33" s="34" t="str">
        <x:v>http://job.mohrss.gov.cn/cjobs/jobinfolist/cb21/showgw?id=80654256</x:v>
      </x:c>
    </x:row>
    <x:row r="34" ht="72" hidden="0" customHeight="1">
      <x:c r="A34" s="35" t="str">
        <x:v>高</x:v>
      </x:c>
      <x:c r="B34" s="20" t="str">
        <x:v>中国公共招聘网</x:v>
      </x:c>
      <x:c r="C34" s="20" t="str">
        <x:v>光伏系统工程师</x:v>
      </x:c>
      <x:c r="D34" s="20" t="str">
        <x:v>广西富嘉新能源有限公司</x:v>
      </x:c>
      <x:c r="E34" s="20" t="str">
        <x:v>广西壮族自治区</x:v>
      </x:c>
      <x:c r="F34" s="20" t="str">
        <x:v>南宁市</x:v>
      </x:c>
      <x:c r="G34" s="36" t="n">
        <x:v>46218</x:v>
      </x:c>
      <x:c r="H34" s="36" t="n">
        <x:v>46230</x:v>
      </x:c>
      <x:c r="I34" s="20" t="str">
        <x:v>BMS / 储能 / 软件</x:v>
      </x:c>
      <x:c r="J34" s="37" t="str">
        <x:v>岗位职责：1、对接市场开发部获取工商业业主的场地信息（如厂房屋顶面积、承重、用电需求等），结合当地光照条件、电网政策，牵头编制光伏系统设计方案（包括组件选型、逆变器配置、支架设计、并网方案等）；2、编制项目施工技术交底文件，向施工团队详细讲解设计方案、技术规范及施工注意事项，确保施工人员理解技术要求；3、项目现场提供技术支持，解决施工过程中的技术问题（如组…</x:v>
      </x:c>
      <x:c r="K34" s="20" t="str">
        <x:v>储能 / BMS</x:v>
      </x:c>
      <x:c r="L34" s="20" t="n">
        <x:v>21</x:v>
      </x:c>
      <x:c r="M34" s="34" t="str">
        <x:v>http://job.mohrss.gov.cn/cjobs/jobinfolist/cb21/showgw?id=77687295</x:v>
      </x:c>
    </x:row>
    <x:row r="35" ht="72" hidden="0" customHeight="1">
      <x:c r="A35" s="35" t="str">
        <x:v>高</x:v>
      </x:c>
      <x:c r="B35" s="20" t="str">
        <x:v>中国公共招聘网</x:v>
      </x:c>
      <x:c r="C35" s="20" t="str">
        <x:v>BMS软件工程师</x:v>
      </x:c>
      <x:c r="D35" s="20" t="str">
        <x:v>广东力盾新能源科技有限公司</x:v>
      </x:c>
      <x:c r="E35" s="20" t="str">
        <x:v>东莞市</x:v>
      </x:c>
      <x:c r="F35" s="20" t="str">
        <x:v>东莞市</x:v>
      </x:c>
      <x:c r="G35" s="36" t="n">
        <x:v>46225</x:v>
      </x:c>
      <x:c r="H35" s="36" t="n">
        <x:v>46246</x:v>
      </x:c>
      <x:c r="I35" s="20" t="str">
        <x:v>BMS / C++ / CAN / 嵌入式 / 软件</x:v>
      </x:c>
      <x:c r="J35" s="37" t="str">
        <x:v>岗位职责：1、负责锂电池BMS保护板、主动均衡板的嵌入式软件开发、设计、测试等工作；2、主持锂电池控制系统软件开发、验证和文档撰写评审工作3、根据设计文档或需求说明完成代码编写、调试、测试和维护。4、领导交办的其他工作任职资格：1、锂电池BMS、嵌入式开发相关经验3年以上；2、熟练C，C++等语言；3、熟悉ST/PIC等单片机的开发编程；4、熟悉常用的I2…</x:v>
      </x:c>
      <x:c r="K35" s="20" t="str">
        <x:v>BMS</x:v>
      </x:c>
      <x:c r="L35" s="20" t="n">
        <x:v>21</x:v>
      </x:c>
      <x:c r="M35" s="34" t="str">
        <x:v>http://job.mohrss.gov.cn/cjobs/jobinfolist/cb21/showgw?id=80783126</x:v>
      </x:c>
    </x:row>
    <x:row r="36" ht="72" hidden="0" customHeight="1">
      <x:c r="A36" s="35" t="str">
        <x:v>中高</x:v>
      </x:c>
      <x:c r="B36" s="20" t="str">
        <x:v>中国公共招聘网</x:v>
      </x:c>
      <x:c r="C36" s="20" t="str">
        <x:v>控制算法工程师</x:v>
      </x:c>
      <x:c r="D36" s="20" t="str">
        <x:v>深圳市科曼医疗设备有限公司</x:v>
      </x:c>
      <x:c r="E36" s="20" t="str">
        <x:v>深圳市</x:v>
      </x:c>
      <x:c r="F36" s="20" t="str">
        <x:v>光明区</x:v>
      </x:c>
      <x:c r="G36" s="36" t="n">
        <x:v>46219</x:v>
      </x:c>
      <x:c r="H36" s="36" t="n">
        <x:v>46234</x:v>
      </x:c>
      <x:c r="I36" s="20" t="str">
        <x:v>C++ / DSP / 控制算法 / 嵌入式</x:v>
      </x:c>
      <x:c r="J36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36" s="20" t="str">
        <x:v>控制算法</x:v>
      </x:c>
      <x:c r="L36" s="20" t="n">
        <x:v>20</x:v>
      </x:c>
      <x:c r="M36" s="34" t="str">
        <x:v>http://job.mohrss.gov.cn/cjobs/jobinfolist/cb21/showgw?id=80749348</x:v>
      </x:c>
    </x:row>
    <x:row r="37" ht="48" hidden="0" customHeight="1">
      <x:c r="A37" s="35" t="str">
        <x:v>中高</x:v>
      </x:c>
      <x:c r="B37" s="20" t="str">
        <x:v>中国公共招聘网</x:v>
      </x:c>
      <x:c r="C37" s="20" t="str">
        <x:v>电机控制算法工程师</x:v>
      </x:c>
      <x:c r="D37" s="20" t="str">
        <x:v>昌辉汽车转向系统（黄山）有限公司</x:v>
      </x:c>
      <x:c r="E37" s="20" t="str">
        <x:v>黄山市</x:v>
      </x:c>
      <x:c r="F37" s="20" t="str">
        <x:v>休宁县</x:v>
      </x:c>
      <x:c r="G37" s="36" t="n">
        <x:v>46212</x:v>
      </x:c>
      <x:c r="H37" s="36" t="n">
        <x:v>46242</x:v>
      </x:c>
      <x:c r="I37" s="20" t="str">
        <x:v>控制算法 / 软件</x:v>
      </x:c>
      <x:c r="J37" s="37" t="str">
        <x:v>“1.电机与电器、自动化、车辆工程类专业;2.有电机控制软件算法开发经验，撑握电机位置补偿、FOC、SVPWM调制、MTPA、弱磁控制、死区补偿、谐波抑制等电机控制算法:3.熟练使用Simulink模型软件进行设计、模型构建、代码生成和验证测试。“</x:v>
      </x:c>
      <x:c r="K37" s="20" t="str">
        <x:v>控制算法</x:v>
      </x:c>
      <x:c r="L37" s="20" t="n">
        <x:v>20</x:v>
      </x:c>
      <x:c r="M37" s="34" t="str">
        <x:v>http://job.mohrss.gov.cn/cjobs/jobinfolist/cb21/showgw?id=80797152</x:v>
      </x:c>
    </x:row>
    <x:row r="38" ht="72" hidden="0" customHeight="1">
      <x:c r="A38" s="35" t="str">
        <x:v>中高</x:v>
      </x:c>
      <x:c r="B38" s="20" t="str">
        <x:v>中国公共招聘网</x:v>
      </x:c>
      <x:c r="C38" s="20" t="str">
        <x:v>飞控算法研发工程师</x:v>
      </x:c>
      <x:c r="D38" s="20" t="str">
        <x:v>深圳市富斯科技有限公司</x:v>
      </x:c>
      <x:c r="E38" s="20" t="str">
        <x:v>深圳市</x:v>
      </x:c>
      <x:c r="F38" s="20" t="str">
        <x:v>福田区</x:v>
      </x:c>
      <x:c r="G38" s="36" t="n">
        <x:v>46221</x:v>
      </x:c>
      <x:c r="H38" s="36" t="n">
        <x:v>46234</x:v>
      </x:c>
      <x:c r="I38" s="20" t="str">
        <x:v>控制算法 / 软件</x:v>
      </x:c>
      <x:c r="J38" s="37" t="str">
        <x:v>1、负责飞行器（固定翼、多旋翼等）飞行控制算法的设计和软件开发，包括姿态控制、位置控制、航迹跟踪等。2、开发和优化无人机智能化功能，如自主导航、路径规划算法等。任职要求：1、本科及以上学历，航空航天、自动控制、电子信息工程等相关专业，2年以上工作经验；2、熟悉互补滤波、EKF、UKF、捷联惯性导航等相关算法；3、熟悉姿态解算、PID控制理论，具备实际的PI…</x:v>
      </x:c>
      <x:c r="K38" s="20" t="str">
        <x:v>控制算法</x:v>
      </x:c>
      <x:c r="L38" s="20" t="n">
        <x:v>20</x:v>
      </x:c>
      <x:c r="M38" s="34" t="str">
        <x:v>http://job.mohrss.gov.cn/cjobs/jobinfolist/cb21/showgw?id=80776498</x:v>
      </x:c>
    </x:row>
    <x:row r="39" ht="72" hidden="0" customHeight="1">
      <x:c r="A39" s="35" t="str">
        <x:v>中高</x:v>
      </x:c>
      <x:c r="B39" s="20" t="str">
        <x:v>中国公共招聘网</x:v>
      </x:c>
      <x:c r="C39" s="20" t="str">
        <x:v>电机控制软件工程师</x:v>
      </x:c>
      <x:c r="D39" s="20" t="str">
        <x:v>常州汉姆智能科技有限公司</x:v>
      </x:c>
      <x:c r="E39" s="20" t="str">
        <x:v>江苏省</x:v>
      </x:c>
      <x:c r="F39" s="20" t="str">
        <x:v>武进区</x:v>
      </x:c>
      <x:c r="G39" s="36" t="n">
        <x:v>46205</x:v>
      </x:c>
      <x:c r="H39" s="36" t="n">
        <x:v>46236</x:v>
      </x:c>
      <x:c r="I39" s="20" t="str">
        <x:v>CAN / 控制算法 / 软件</x:v>
      </x:c>
      <x:c r="J39" s="37" t="str">
        <x:v>岗位职责1.负责电机控制算法（FOC、SVPWM、PID、矢量控制、弱磁控制等）的方案设计、代码实现与参数调试。2.负责MCU底层驱动开发，包括GPIO、ADC、PWM、CAN、LIN、UART、SPI等外设驱动编写与调试。3.负责电机控制软件架构设计、模块拆分、代码编写、版本管理与文档输出。4.搭建电机控制测试平台，完成台架测试、负载测试、高低温环境测试…</x:v>
      </x:c>
      <x:c r="K39" s="20" t="str">
        <x:v>控制算法</x:v>
      </x:c>
      <x:c r="L39" s="20" t="n">
        <x:v>20</x:v>
      </x:c>
      <x:c r="M39" s="34" t="str">
        <x:v>http://job.mohrss.gov.cn/cjobs/jobinfolist/cb21/showgw?id=80609777</x:v>
      </x:c>
    </x:row>
    <x:row r="40" ht="72" hidden="0" customHeight="1">
      <x:c r="A40" s="35" t="str">
        <x:v>中高</x:v>
      </x:c>
      <x:c r="B40" s="20" t="str">
        <x:v>中国公共招聘网</x:v>
      </x:c>
      <x:c r="C40" s="20" t="str">
        <x:v>高级控制算法开发工程师</x:v>
      </x:c>
      <x:c r="D40" s="20" t="str">
        <x:v>深圳市科曼医疗设备有限公司</x:v>
      </x:c>
      <x:c r="E40" s="20" t="str">
        <x:v>深圳市</x:v>
      </x:c>
      <x:c r="F40" s="20" t="str">
        <x:v>福田区</x:v>
      </x:c>
      <x:c r="G40" s="36" t="n">
        <x:v>46214</x:v>
      </x:c>
      <x:c r="H40" s="36" t="n">
        <x:v>46234</x:v>
      </x:c>
      <x:c r="I40" s="20" t="str">
        <x:v>C++ / DSP / 控制算法 / 嵌入式</x:v>
      </x:c>
      <x:c r="J40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40" s="20" t="str">
        <x:v>控制算法</x:v>
      </x:c>
      <x:c r="L40" s="20" t="n">
        <x:v>20</x:v>
      </x:c>
      <x:c r="M40" s="34" t="str">
        <x:v>http://job.mohrss.gov.cn/cjobs/jobinfolist/cb21/showgw?id=80713817</x:v>
      </x:c>
    </x:row>
    <x:row r="41" ht="72" hidden="0" customHeight="1">
      <x:c r="A41" s="35" t="str">
        <x:v>中高</x:v>
      </x:c>
      <x:c r="B41" s="20" t="str">
        <x:v>中国公共招聘网</x:v>
      </x:c>
      <x:c r="C41" s="20" t="str">
        <x:v>高级控制算法技术工程师职位</x:v>
      </x:c>
      <x:c r="D41" s="20" t="str">
        <x:v>深圳市科曼医疗设备有限公司</x:v>
      </x:c>
      <x:c r="E41" s="20" t="str">
        <x:v>深圳市</x:v>
      </x:c>
      <x:c r="F41" s="20" t="str">
        <x:v>福田区</x:v>
      </x:c>
      <x:c r="G41" s="36" t="n">
        <x:v>46214</x:v>
      </x:c>
      <x:c r="H41" s="36" t="n">
        <x:v>46234</x:v>
      </x:c>
      <x:c r="I41" s="20" t="str">
        <x:v>C++ / DSP / 控制算法 / 嵌入式</x:v>
      </x:c>
      <x:c r="J41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41" s="20" t="str">
        <x:v>控制算法</x:v>
      </x:c>
      <x:c r="L41" s="20" t="n">
        <x:v>20</x:v>
      </x:c>
      <x:c r="M41" s="34" t="str">
        <x:v>http://job.mohrss.gov.cn/cjobs/jobinfolist/cb21/showgw?id=80713630</x:v>
      </x:c>
    </x:row>
    <x:row r="42" ht="72" hidden="0" customHeight="1">
      <x:c r="A42" s="35" t="str">
        <x:v>中高</x:v>
      </x:c>
      <x:c r="B42" s="20" t="str">
        <x:v>中国公共招聘网</x:v>
      </x:c>
      <x:c r="C42" s="20" t="str">
        <x:v>高级控制算法开发工程师岗位</x:v>
      </x:c>
      <x:c r="D42" s="20" t="str">
        <x:v>深圳市科曼医疗设备有限公司</x:v>
      </x:c>
      <x:c r="E42" s="20" t="str">
        <x:v>深圳市</x:v>
      </x:c>
      <x:c r="F42" s="20" t="str">
        <x:v>福田区</x:v>
      </x:c>
      <x:c r="G42" s="36" t="n">
        <x:v>46214</x:v>
      </x:c>
      <x:c r="H42" s="36" t="n">
        <x:v>46234</x:v>
      </x:c>
      <x:c r="I42" s="20" t="str">
        <x:v>C++ / DSP / 控制算法 / 嵌入式</x:v>
      </x:c>
      <x:c r="J42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42" s="20" t="str">
        <x:v>控制算法</x:v>
      </x:c>
      <x:c r="L42" s="20" t="n">
        <x:v>20</x:v>
      </x:c>
      <x:c r="M42" s="34" t="str">
        <x:v>http://job.mohrss.gov.cn/cjobs/jobinfolist/cb21/showgw?id=80713506</x:v>
      </x:c>
    </x:row>
    <x:row r="43" ht="72" hidden="0" customHeight="1">
      <x:c r="A43" s="35" t="str">
        <x:v>中高</x:v>
      </x:c>
      <x:c r="B43" s="20" t="str">
        <x:v>中国公共招聘网</x:v>
      </x:c>
      <x:c r="C43" s="20" t="str">
        <x:v>高级控制算法技术工程师岗位</x:v>
      </x:c>
      <x:c r="D43" s="20" t="str">
        <x:v>深圳市科曼医疗设备有限公司</x:v>
      </x:c>
      <x:c r="E43" s="20" t="str">
        <x:v>深圳市</x:v>
      </x:c>
      <x:c r="F43" s="20" t="str">
        <x:v>福田区</x:v>
      </x:c>
      <x:c r="G43" s="36" t="n">
        <x:v>46214</x:v>
      </x:c>
      <x:c r="H43" s="36" t="n">
        <x:v>46234</x:v>
      </x:c>
      <x:c r="I43" s="20" t="str">
        <x:v>C++ / DSP / 控制算法 / 嵌入式</x:v>
      </x:c>
      <x:c r="J43" s="37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43" s="20" t="str">
        <x:v>控制算法</x:v>
      </x:c>
      <x:c r="L43" s="20" t="n">
        <x:v>20</x:v>
      </x:c>
      <x:c r="M43" s="34" t="str">
        <x:v>http://job.mohrss.gov.cn/cjobs/jobinfolist/cb21/showgw?id=80713491</x:v>
      </x:c>
    </x:row>
    <x:row r="44" ht="72" hidden="0" customHeight="1">
      <x:c r="A44" s="38" t="str">
        <x:v>中高</x:v>
      </x:c>
      <x:c r="B44" s="39" t="str">
        <x:v>中国公共招聘网</x:v>
      </x:c>
      <x:c r="C44" s="39" t="str">
        <x:v>初级控制算法技术工程师岗位</x:v>
      </x:c>
      <x:c r="D44" s="39" t="str">
        <x:v>深圳市科曼医疗设备有限公司</x:v>
      </x:c>
      <x:c r="E44" s="39" t="str">
        <x:v>深圳市</x:v>
      </x:c>
      <x:c r="F44" s="39" t="str">
        <x:v>福田区</x:v>
      </x:c>
      <x:c r="G44" s="40" t="n">
        <x:v>46214</x:v>
      </x:c>
      <x:c r="H44" s="40" t="n">
        <x:v>46234</x:v>
      </x:c>
      <x:c r="I44" s="39" t="str">
        <x:v>C++ / DSP / 控制算法 / 嵌入式</x:v>
      </x:c>
      <x:c r="J44" s="41" t="str">
        <x:v>1、硕士及以上学历，自动化、电气电子、应用数学、生物医学工程等理工科专业，熟练掌握自动控制、数字信号处理、模式识别、人工智能控制等至少一个领域的理论知识。2、有实际项目经验，具备独立研究能力，作为主要成员参与过科研项目或电子设计竞赛；有比例阀控制、直线电机控制、FOC涡轮电机控制、模糊控制算法等经验者优先。3、熟练C/C++语言，有ARM、DSP开发基础，…</x:v>
      </x:c>
      <x:c r="K44" s="39" t="str">
        <x:v>控制算法</x:v>
      </x:c>
      <x:c r="L44" s="39" t="n">
        <x:v>20</x:v>
      </x:c>
      <x:c r="M44" s="42" t="str">
        <x:v>http://job.mohrss.gov.cn/cjobs/jobinfolist/cb21/showgw?id=80712955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e63e3f7576148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8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22" hidden="0" customWidth="1"/>
    <x:col min="9" max="9" width="30" hidden="0" customWidth="1"/>
    <x:col min="10" max="10" width="34" hidden="0" customWidth="1"/>
    <x:col min="11" max="11" width="62" hidden="0" customWidth="1"/>
    <x:col min="12" max="12" width="30" hidden="0" customWidth="1"/>
  </x:cols>
  <x:sheetData>
    <x:row r="1" ht="30" hidden="0" customHeight="1">
      <x:c r="A1" s="49" t="str">
        <x:v>国聘行动 - 央企入口核验清单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2"/>
    </x:row>
    <x:row r="2" ht="24" hidden="0" customHeight="1">
      <x:c r="A2" s="33" t="str">
        <x:v>未登录状态下具体 JD 受限，本表保留集团入口和岗位计数，用于登录后核岗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34"/>
    </x:row>
    <x:row r="3" ht="15" hidden="0" customHeight="1">
      <x:c r="A3" s="35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34"/>
    </x:row>
    <x:row r="4" ht="15" hidden="0" customHeight="1">
      <x:c r="A4" s="50" t="str">
        <x:v>优先级</x:v>
      </x:c>
      <x:c r="B4" s="51" t="str">
        <x:v>公司</x:v>
      </x:c>
      <x:c r="C4" s="51" t="str">
        <x:v>简称</x:v>
      </x:c>
      <x:c r="D4" s="51" t="str">
        <x:v>岗位数</x:v>
      </x:c>
      <x:c r="E4" s="51" t="str">
        <x:v>招聘人数</x:v>
      </x:c>
      <x:c r="F4" s="51" t="str">
        <x:v>校招数</x:v>
      </x:c>
      <x:c r="G4" s="51" t="str">
        <x:v>社招数</x:v>
      </x:c>
      <x:c r="H4" s="51" t="str">
        <x:v>行业</x:v>
      </x:c>
      <x:c r="I4" s="51" t="str">
        <x:v>地区</x:v>
      </x:c>
      <x:c r="J4" s="51" t="str">
        <x:v>匹配判断</x:v>
      </x:c>
      <x:c r="K4" s="51" t="str">
        <x:v>下一步动作</x:v>
      </x:c>
      <x:c r="L4" s="52" t="str">
        <x:v>入口</x:v>
      </x:c>
    </x:row>
    <x:row r="5" ht="24" hidden="0" customHeight="1">
      <x:c r="A5" s="35" t="str">
        <x:v>高</x:v>
      </x:c>
      <x:c r="B5" s="20" t="str">
        <x:v>中国电气装备集团有限公司</x:v>
      </x:c>
      <x:c r="C5" s="20" t="str">
        <x:v>中国电气装备集团</x:v>
      </x:c>
      <x:c r="D5" s="43" t="n">
        <x:v>9</x:v>
      </x:c>
      <x:c r="E5" s="43" t="n">
        <x:v>23</x:v>
      </x:c>
      <x:c r="F5" s="43" t="n">
        <x:v>9</x:v>
      </x:c>
      <x:c r="G5" s="43" t="n">
        <x:v>0</x:v>
      </x:c>
      <x:c r="H5" s="20" t="str">
        <x:v>制造业</x:v>
      </x:c>
      <x:c r="I5" s="20" t="str">
        <x:v>中国-上海-上海市-静安区</x:v>
      </x:c>
      <x:c r="J5" s="37" t="str">
        <x:v>最贴储能/BMS/PCS/EMS，先登录核岗位明细</x:v>
      </x:c>
      <x:c r="K5" s="37" t="str">
        <x:v>登录国聘行动后按集团名进入，筛校招/储能/新能源/电气自动化/控制/软件/EMS/BMS</x:v>
      </x:c>
      <x:c r="L5" s="34" t="str">
        <x:v>https://gpxd.iguopin.com/</x:v>
      </x:c>
    </x:row>
    <x:row r="6" ht="24" hidden="0" customHeight="1">
      <x:c r="A6" s="35" t="str">
        <x:v>高</x:v>
      </x:c>
      <x:c r="B6" s="20" t="str">
        <x:v>中国能源建设股份有限公司</x:v>
      </x:c>
      <x:c r="C6" s="20" t="str">
        <x:v>中国能建</x:v>
      </x:c>
      <x:c r="D6" s="43" t="n">
        <x:v>276</x:v>
      </x:c>
      <x:c r="E6" s="43" t="n">
        <x:v>1139</x:v>
      </x:c>
      <x:c r="F6" s="43" t="n">
        <x:v>158</x:v>
      </x:c>
      <x:c r="G6" s="43" t="n">
        <x:v>118</x:v>
      </x:c>
      <x:c r="H6" s="20" t="str">
        <x:v>建筑业</x:v>
      </x:c>
      <x:c r="I6" s="20" t="str">
        <x:v>中国-北京-北京市-朝阳区</x:v>
      </x:c>
      <x:c r="J6" s="37" t="str">
        <x:v>储能、电力系统、综合能源方向强</x:v>
      </x:c>
      <x:c r="K6" s="37" t="str">
        <x:v>登录国聘行动后按集团名进入，筛校招/储能/新能源/电气自动化/控制/软件/EMS/BMS</x:v>
      </x:c>
      <x:c r="L6" s="34" t="str">
        <x:v>https://gpxd.iguopin.com/</x:v>
      </x:c>
    </x:row>
    <x:row r="7" ht="24" hidden="0" customHeight="1">
      <x:c r="A7" s="35" t="str">
        <x:v>高</x:v>
      </x:c>
      <x:c r="B7" s="20" t="str">
        <x:v>国家电力投资集团有限公司</x:v>
      </x:c>
      <x:c r="C7" s="20" t="str">
        <x:v>国家电投</x:v>
      </x:c>
      <x:c r="D7" s="43" t="n">
        <x:v>235</x:v>
      </x:c>
      <x:c r="E7" s="43" t="n">
        <x:v>631</x:v>
      </x:c>
      <x:c r="F7" s="43" t="n">
        <x:v>76</x:v>
      </x:c>
      <x:c r="G7" s="43" t="n">
        <x:v>159</x:v>
      </x:c>
      <x:c r="H7" s="20" t="str">
        <x:v>电力、热力、燃气及水生产和供应业</x:v>
      </x:c>
      <x:c r="I7" s="20" t="str">
        <x:v>中国-北京-北京市-海淀区</x:v>
      </x:c>
      <x:c r="J7" s="37" t="str">
        <x:v>储能、综合智慧能源、新源智储方向值得查</x:v>
      </x:c>
      <x:c r="K7" s="37" t="str">
        <x:v>登录国聘行动后按集团名进入，筛校招/储能/新能源/电气自动化/控制/软件/EMS/BMS</x:v>
      </x:c>
      <x:c r="L7" s="34" t="str">
        <x:v>https://gpxd.iguopin.com/</x:v>
      </x:c>
    </x:row>
    <x:row r="8" ht="24" hidden="0" customHeight="1">
      <x:c r="A8" s="35" t="str">
        <x:v>中高</x:v>
      </x:c>
      <x:c r="B8" s="20" t="str">
        <x:v>中国东方电气集团有限公司</x:v>
      </x:c>
      <x:c r="C8" s="20" t="str">
        <x:v>东方电气集团</x:v>
      </x:c>
      <x:c r="D8" s="43" t="n">
        <x:v>198</x:v>
      </x:c>
      <x:c r="E8" s="43" t="n">
        <x:v>479</x:v>
      </x:c>
      <x:c r="F8" s="43" t="n">
        <x:v>99</x:v>
      </x:c>
      <x:c r="G8" s="43" t="n">
        <x:v>99</x:v>
      </x:c>
      <x:c r="H8" s="20" t="str">
        <x:v>专用设备制造业</x:v>
      </x:c>
      <x:c r="I8" s="20" t="str">
        <x:v>中国-四川-成都</x:v>
      </x:c>
      <x:c r="J8" s="37" t="str">
        <x:v>装备制造、电气、控制方向可看</x:v>
      </x:c>
      <x:c r="K8" s="37" t="str">
        <x:v>登录国聘行动后按集团名进入，筛校招/储能/新能源/电气自动化/控制/软件/EMS/BMS</x:v>
      </x:c>
      <x:c r="L8" s="34" t="str">
        <x:v>https://gpxd.iguopin.com/</x:v>
      </x:c>
    </x:row>
    <x:row r="9" ht="24" hidden="0" customHeight="1">
      <x:c r="A9" s="35" t="str">
        <x:v>中</x:v>
      </x:c>
      <x:c r="B9" s="20" t="str">
        <x:v>中国华能集团有限公司</x:v>
      </x:c>
      <x:c r="C9" s="20" t="str">
        <x:v>中国华能</x:v>
      </x:c>
      <x:c r="D9" s="43" t="n">
        <x:v>37</x:v>
      </x:c>
      <x:c r="E9" s="43" t="n">
        <x:v>50</x:v>
      </x:c>
      <x:c r="F9" s="43" t="n">
        <x:v>37</x:v>
      </x:c>
      <x:c r="G9" s="43" t="n">
        <x:v>0</x:v>
      </x:c>
      <x:c r="H9" s="20" t="str">
        <x:v>电力、热力生产和供应业</x:v>
      </x:c>
      <x:c r="I9" s="20" t="str">
        <x:v>中国-北京-北京市-海淀区</x:v>
      </x:c>
      <x:c r="J9" s="37" t="str">
        <x:v>电力央企备选</x:v>
      </x:c>
      <x:c r="K9" s="37" t="str">
        <x:v>登录国聘行动后按集团名进入，筛校招/储能/新能源/电气自动化/控制/软件/EMS/BMS</x:v>
      </x:c>
      <x:c r="L9" s="34" t="str">
        <x:v>https://gpxd.iguopin.com/</x:v>
      </x:c>
    </x:row>
    <x:row r="10" ht="24" hidden="0" customHeight="1">
      <x:c r="A10" s="35" t="str">
        <x:v>中</x:v>
      </x:c>
      <x:c r="B10" s="20" t="str">
        <x:v>中国船舶集团有限公司</x:v>
      </x:c>
      <x:c r="C10" s="20" t="str">
        <x:v>中国船舶</x:v>
      </x:c>
      <x:c r="D10" s="43" t="n">
        <x:v>29</x:v>
      </x:c>
      <x:c r="E10" s="43" t="n">
        <x:v>145</x:v>
      </x:c>
      <x:c r="F10" s="43" t="n">
        <x:v>11</x:v>
      </x:c>
      <x:c r="G10" s="43" t="n">
        <x:v>18</x:v>
      </x:c>
      <x:c r="H10" s="20" t="str">
        <x:v>船舶</x:v>
      </x:c>
      <x:c r="I10" s="20" t="str">
        <x:v>中国-北京-北京市-海淀区</x:v>
      </x:c>
      <x:c r="J10" s="37" t="str">
        <x:v>可用船舶/海工能源管理叙事试探</x:v>
      </x:c>
      <x:c r="K10" s="37" t="str">
        <x:v>登录国聘行动后按集团名进入，筛校招/储能/新能源/电气自动化/控制/软件/EMS/BMS</x:v>
      </x:c>
      <x:c r="L10" s="34" t="str">
        <x:v>https://gpxd.iguopin.com/</x:v>
      </x:c>
    </x:row>
    <x:row r="11" ht="24" hidden="0" customHeight="1">
      <x:c r="A11" s="35" t="str">
        <x:v>中</x:v>
      </x:c>
      <x:c r="B11" s="20" t="str">
        <x:v>中国电子科技集团有限公司</x:v>
      </x:c>
      <x:c r="C11" s="20" t="str">
        <x:v>中国电科</x:v>
      </x:c>
      <x:c r="D11" s="43" t="n">
        <x:v>18</x:v>
      </x:c>
      <x:c r="E11" s="43" t="n">
        <x:v>79</x:v>
      </x:c>
      <x:c r="F11" s="43" t="n">
        <x:v>9</x:v>
      </x:c>
      <x:c r="G11" s="43" t="n">
        <x:v>9</x:v>
      </x:c>
      <x:c r="H11" s="20" t="str">
        <x:v>军工行业</x:v>
      </x:c>
      <x:c r="I11" s="20" t="str">
        <x:v>中国-北京-北京市-海淀区</x:v>
      </x:c>
      <x:c r="J11" s="37" t="str">
        <x:v>电源、控制、电子系统方向可查</x:v>
      </x:c>
      <x:c r="K11" s="37" t="str">
        <x:v>登录国聘行动后按集团名进入，筛校招/储能/新能源/电气自动化/控制/软件/EMS/BMS</x:v>
      </x:c>
      <x:c r="L11" s="34" t="str">
        <x:v>https://gpxd.iguopin.com/</x:v>
      </x:c>
    </x:row>
    <x:row r="12" ht="24" hidden="0" customHeight="1">
      <x:c r="A12" s="35" t="str">
        <x:v>中</x:v>
      </x:c>
      <x:c r="B12" s="20" t="str">
        <x:v>中国中车集团有限公司</x:v>
      </x:c>
      <x:c r="C12" s="20" t="str">
        <x:v>中国中车</x:v>
      </x:c>
      <x:c r="D12" s="43" t="n">
        <x:v>11</x:v>
      </x:c>
      <x:c r="E12" s="43" t="n">
        <x:v>73</x:v>
      </x:c>
      <x:c r="F12" s="43" t="n">
        <x:v>10</x:v>
      </x:c>
      <x:c r="G12" s="43" t="n">
        <x:v>1</x:v>
      </x:c>
      <x:c r="H12" s="20" t="str">
        <x:v>通用设备制造业</x:v>
      </x:c>
      <x:c r="I12" s="20" t="str">
        <x:v>中国-北京-北京市-丰台区</x:v>
      </x:c>
      <x:c r="J12" s="37" t="str">
        <x:v>轨交能源管理、储能系统备选</x:v>
      </x:c>
      <x:c r="K12" s="37" t="str">
        <x:v>登录国聘行动后按集团名进入，筛校招/储能/新能源/电气自动化/控制/软件/EMS/BMS</x:v>
      </x:c>
      <x:c r="L12" s="34" t="str">
        <x:v>https://gpxd.iguopin.com/</x:v>
      </x:c>
    </x:row>
    <x:row r="13" ht="24" hidden="0" customHeight="1">
      <x:c r="A13" s="35" t="str">
        <x:v>低</x:v>
      </x:c>
      <x:c r="B13" s="20" t="str">
        <x:v>国家电网有限公司</x:v>
      </x:c>
      <x:c r="C13" s="20" t="str">
        <x:v>国家电网</x:v>
      </x:c>
      <x:c r="D13" s="43" t="n">
        <x:v>1</x:v>
      </x:c>
      <x:c r="E13" s="43" t="n">
        <x:v>2</x:v>
      </x:c>
      <x:c r="F13" s="43" t="n">
        <x:v>1</x:v>
      </x:c>
      <x:c r="G13" s="43" t="n">
        <x:v>0</x:v>
      </x:c>
      <x:c r="H13" s="20" t="str">
        <x:v>电力、热力生产和供应业</x:v>
      </x:c>
      <x:c r="I13" s="20" t="str">
        <x:v>中国-北京-北京市-西城区</x:v>
      </x:c>
      <x:c r="J13" s="37" t="str">
        <x:v>当前国聘行动内数量少，不作为主线</x:v>
      </x:c>
      <x:c r="K13" s="37" t="str">
        <x:v>登录国聘行动后按集团名进入，筛校招/储能/新能源/电气自动化/控制/软件/EMS/BMS</x:v>
      </x:c>
      <x:c r="L13" s="34" t="str">
        <x:v>https://gpxd.iguopin.com/</x:v>
      </x:c>
    </x:row>
    <x:row r="14" ht="24" hidden="0" customHeight="1">
      <x:c r="A14" s="38" t="str">
        <x:v>中高</x:v>
      </x:c>
      <x:c r="B14" s="39" t="str">
        <x:v>中国电力建设集团有限公司</x:v>
      </x:c>
      <x:c r="C14" s="39" t="str">
        <x:v>中国电建集团</x:v>
      </x:c>
      <x:c r="D14" s="44" t="n">
        <x:v>105</x:v>
      </x:c>
      <x:c r="E14" s="44" t="n">
        <x:v>909</x:v>
      </x:c>
      <x:c r="F14" s="44" t="n">
        <x:v>28</x:v>
      </x:c>
      <x:c r="G14" s="44" t="n">
        <x:v>47</x:v>
      </x:c>
      <x:c r="H14" s="39" t="str">
        <x:v>电力、热力生产和供应业</x:v>
      </x:c>
      <x:c r="I14" s="39" t="str">
        <x:v>中国-北京-北京市-海淀区</x:v>
      </x:c>
      <x:c r="J14" s="41" t="str">
        <x:v>新能源工程、储能电站、自动化方向可看</x:v>
      </x:c>
      <x:c r="K14" s="41" t="str">
        <x:v>登录国聘行动后按集团名进入，筛校招/储能/新能源/电气自动化/控制/软件/EMS/BMS</x:v>
      </x:c>
      <x:c r="L14" s="42" t="str">
        <x:v>https://gpxd.iguopin.com/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e6d08177e4545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2" hidden="0" customWidth="1"/>
    <x:col min="5" max="5" width="20" hidden="0" customWidth="1"/>
  </x:cols>
  <x:sheetData>
    <x:row r="1" ht="30" hidden="0" customHeight="1">
      <x:c r="A1" s="49" t="str">
        <x:v>中国公共招聘网 - 关键词结果统计</x:v>
      </x:c>
      <x:c r="B1" s="31"/>
      <x:c r="C1" s="31"/>
      <x:c r="D1" s="32"/>
    </x:row>
    <x:row r="2" ht="24" hidden="0" customHeight="1">
      <x:c r="A2" s="33" t="str">
        <x:v>结果数来自 2026-07-27 抓取；新能源仅抓取前 200 条做技术岗筛选</x:v>
      </x:c>
      <x:c r="B2" s="20"/>
      <x:c r="C2" s="20"/>
      <x:c r="D2" s="34"/>
    </x:row>
    <x:row r="3" ht="15" hidden="0" customHeight="1">
      <x:c r="A3" s="35"/>
      <x:c r="B3" s="20"/>
      <x:c r="C3" s="20"/>
      <x:c r="D3" s="34"/>
    </x:row>
    <x:row r="4" ht="15" hidden="0" customHeight="1">
      <x:c r="A4" s="50" t="str">
        <x:v>关键词</x:v>
      </x:c>
      <x:c r="B4" s="51" t="str">
        <x:v>全站结果数</x:v>
      </x:c>
      <x:c r="C4" s="51" t="str">
        <x:v>已抓取去重数</x:v>
      </x:c>
      <x:c r="D4" s="52" t="str">
        <x:v>页数口径</x:v>
      </x:c>
    </x:row>
    <x:row r="5" ht="15" hidden="0" customHeight="1">
      <x:c r="A5" s="35" t="str">
        <x:v>储能</x:v>
      </x:c>
      <x:c r="B5" s="43" t="n">
        <x:v>194</x:v>
      </x:c>
      <x:c r="C5" s="43" t="n">
        <x:v>194</x:v>
      </x:c>
      <x:c r="D5" s="45" t="n">
        <x:v>10</x:v>
      </x:c>
    </x:row>
    <x:row r="6" ht="15" hidden="0" customHeight="1">
      <x:c r="A6" s="35" t="str">
        <x:v>BMS</x:v>
      </x:c>
      <x:c r="B6" s="43" t="n">
        <x:v>43</x:v>
      </x:c>
      <x:c r="C6" s="43" t="n">
        <x:v>43</x:v>
      </x:c>
      <x:c r="D6" s="45" t="n">
        <x:v>3</x:v>
      </x:c>
    </x:row>
    <x:row r="7" ht="15" hidden="0" customHeight="1">
      <x:c r="A7" s="35" t="str">
        <x:v>EMS</x:v>
      </x:c>
      <x:c r="B7" s="43" t="n">
        <x:v>23</x:v>
      </x:c>
      <x:c r="C7" s="43" t="n">
        <x:v>23</x:v>
      </x:c>
      <x:c r="D7" s="45" t="n">
        <x:v>2</x:v>
      </x:c>
    </x:row>
    <x:row r="8" ht="15" hidden="0" customHeight="1">
      <x:c r="A8" s="35" t="str">
        <x:v>电池算法</x:v>
      </x:c>
      <x:c r="B8" s="43" t="n">
        <x:v>0</x:v>
      </x:c>
      <x:c r="C8" s="43" t="n">
        <x:v>0</x:v>
      </x:c>
      <x:c r="D8" s="45" t="n">
        <x:v>0</x:v>
      </x:c>
    </x:row>
    <x:row r="9" ht="15" hidden="0" customHeight="1">
      <x:c r="A9" s="35" t="str">
        <x:v>电池管理</x:v>
      </x:c>
      <x:c r="B9" s="43" t="n">
        <x:v>7</x:v>
      </x:c>
      <x:c r="C9" s="43" t="n">
        <x:v>7</x:v>
      </x:c>
      <x:c r="D9" s="45" t="n">
        <x:v>1</x:v>
      </x:c>
    </x:row>
    <x:row r="10" ht="15" hidden="0" customHeight="1">
      <x:c r="A10" s="35" t="str">
        <x:v>控制算法</x:v>
      </x:c>
      <x:c r="B10" s="43" t="n">
        <x:v>86</x:v>
      </x:c>
      <x:c r="C10" s="43" t="n">
        <x:v>86</x:v>
      </x:c>
      <x:c r="D10" s="45" t="n">
        <x:v>5</x:v>
      </x:c>
    </x:row>
    <x:row r="11" ht="15" hidden="0" customHeight="1">
      <x:c r="A11" s="35" t="str">
        <x:v>新能源</x:v>
      </x:c>
      <x:c r="B11" s="43" t="n">
        <x:v>1005</x:v>
      </x:c>
      <x:c r="C11" s="43" t="n">
        <x:v>200</x:v>
      </x:c>
      <x:c r="D11" s="45" t="n">
        <x:v>51</x:v>
      </x:c>
    </x:row>
    <x:row r="12" ht="15" hidden="0" customHeight="1">
      <x:c r="A12" s="35" t="str">
        <x:v>SOC</x:v>
      </x:c>
      <x:c r="B12" s="43" t="n">
        <x:v>8</x:v>
      </x:c>
      <x:c r="C12" s="43" t="n">
        <x:v>8</x:v>
      </x:c>
      <x:c r="D12" s="45" t="n">
        <x:v>1</x:v>
      </x:c>
    </x:row>
    <x:row r="13" ht="15" hidden="0" customHeight="1">
      <x:c r="A13" s="38" t="str">
        <x:v>SOH</x:v>
      </x:c>
      <x:c r="B13" s="44" t="n">
        <x:v>1</x:v>
      </x:c>
      <x:c r="C13" s="44" t="n">
        <x:v>1</x:v>
      </x:c>
      <x:c r="D13" s="46" t="n">
        <x:v>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16705cf31324a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18" hidden="0" customWidth="1"/>
    <x:col min="4" max="4" width="10" hidden="0" customWidth="1"/>
    <x:col min="5" max="5" width="12" hidden="0" customWidth="1"/>
    <x:col min="6" max="6" width="14" hidden="0" customWidth="1"/>
    <x:col min="7" max="7" width="46" hidden="0" customWidth="1"/>
  </x:cols>
  <x:sheetData>
    <x:row r="1" ht="30" hidden="0" customHeight="1">
      <x:c r="A1" s="49" t="str">
        <x:v>下一步投递行动清单</x:v>
      </x:c>
      <x:c r="B1" s="31"/>
      <x:c r="C1" s="31"/>
      <x:c r="D1" s="31"/>
      <x:c r="E1" s="31"/>
      <x:c r="F1" s="31"/>
      <x:c r="G1" s="32"/>
    </x:row>
    <x:row r="2" ht="24" hidden="0" customHeight="1">
      <x:c r="A2" s="33" t="str">
        <x:v>按优先级处理；状态列可下拉更新</x:v>
      </x:c>
      <x:c r="B2" s="20"/>
      <x:c r="C2" s="20"/>
      <x:c r="D2" s="20"/>
      <x:c r="E2" s="20"/>
      <x:c r="F2" s="20"/>
      <x:c r="G2" s="34"/>
    </x:row>
    <x:row r="3" ht="15" hidden="0" customHeight="1">
      <x:c r="A3" s="35"/>
      <x:c r="B3" s="20"/>
      <x:c r="C3" s="20"/>
      <x:c r="D3" s="20"/>
      <x:c r="E3" s="20"/>
      <x:c r="F3" s="20"/>
      <x:c r="G3" s="34"/>
    </x:row>
    <x:row r="4" ht="15" hidden="0" customHeight="1">
      <x:c r="A4" s="50" t="str">
        <x:v>序号</x:v>
      </x:c>
      <x:c r="B4" s="51" t="str">
        <x:v>事项</x:v>
      </x:c>
      <x:c r="C4" s="51" t="str">
        <x:v>平台</x:v>
      </x:c>
      <x:c r="D4" s="51" t="str">
        <x:v>优先级</x:v>
      </x:c>
      <x:c r="E4" s="51" t="str">
        <x:v>状态</x:v>
      </x:c>
      <x:c r="F4" s="51" t="str">
        <x:v>截止日期</x:v>
      </x:c>
      <x:c r="G4" s="52" t="str">
        <x:v>备注</x:v>
      </x:c>
    </x:row>
    <x:row r="5" ht="15" hidden="0" customHeight="1">
      <x:c r="A5" s="35" t="n">
        <x:v>1</x:v>
      </x:c>
      <x:c r="B5" s="20" t="str">
        <x:v>登录国聘行动核中国电气装备集团 9 个校招岗位</x:v>
      </x:c>
      <x:c r="C5" s="20" t="str">
        <x:v>国聘行动</x:v>
      </x:c>
      <x:c r="D5" s="20" t="str">
        <x:v>高</x:v>
      </x:c>
      <x:c r="E5" s="20" t="str">
        <x:v>未处理</x:v>
      </x:c>
      <x:c r="F5" s="36" t="str"/>
      <x:c r="G5" s="47" t="str">
        <x:v>筛储能公司、BMS、EMS、PCS、控制算法</x:v>
      </x:c>
    </x:row>
    <x:row r="6" ht="15" hidden="0" customHeight="1">
      <x:c r="A6" s="35" t="n">
        <x:v>2</x:v>
      </x:c>
      <x:c r="B6" s="20" t="str">
        <x:v>核中国能建、国家电投、东方电气、中国电建岗位</x:v>
      </x:c>
      <x:c r="C6" s="20" t="str">
        <x:v>国聘行动</x:v>
      </x:c>
      <x:c r="D6" s="20" t="str">
        <x:v>高</x:v>
      </x:c>
      <x:c r="E6" s="20" t="str">
        <x:v>未处理</x:v>
      </x:c>
      <x:c r="F6" s="36" t="str"/>
      <x:c r="G6" s="47" t="str">
        <x:v>筛校招、储能、新能源、电气自动化、控制、软件</x:v>
      </x:c>
    </x:row>
    <x:row r="7" ht="15" hidden="0" customHeight="1">
      <x:c r="A7" s="35" t="n">
        <x:v>3</x:v>
      </x:c>
      <x:c r="B7" s="20" t="str">
        <x:v>优先查看力高 BMS/PCS/储能嵌入式岗位</x:v>
      </x:c>
      <x:c r="C7" s="20" t="str">
        <x:v>中国公共招聘网</x:v>
      </x:c>
      <x:c r="D7" s="20" t="str">
        <x:v>高</x:v>
      </x:c>
      <x:c r="E7" s="20" t="str">
        <x:v>未处理</x:v>
      </x:c>
      <x:c r="F7" s="36" t="n">
        <x:v>46234</x:v>
      </x:c>
      <x:c r="G7" s="47" t="str">
        <x:v>截止近，先核是否接受应届</x:v>
      </x:c>
    </x:row>
    <x:row r="8" ht="15" hidden="0" customHeight="1">
      <x:c r="A8" s="35" t="n">
        <x:v>4</x:v>
      </x:c>
      <x:c r="B8" s="20" t="str">
        <x:v>查看广东力盾嵌入式软件工程师</x:v>
      </x:c>
      <x:c r="C8" s="20" t="str">
        <x:v>中国公共招聘网</x:v>
      </x:c>
      <x:c r="D8" s="20" t="str">
        <x:v>中高</x:v>
      </x:c>
      <x:c r="E8" s="20" t="str">
        <x:v>未处理</x:v>
      </x:c>
      <x:c r="F8" s="36" t="n">
        <x:v>46246</x:v>
      </x:c>
      <x:c r="G8" s="47" t="str">
        <x:v>STM32、储能、BMS</x:v>
      </x:c>
    </x:row>
    <x:row r="9" ht="15" hidden="0" customHeight="1">
      <x:c r="A9" s="35" t="n">
        <x:v>5</x:v>
      </x:c>
      <x:c r="B9" s="20" t="str">
        <x:v>查看苏文电能储能 EMS 软件岗位</x:v>
      </x:c>
      <x:c r="C9" s="20" t="str">
        <x:v>中国公共招聘网</x:v>
      </x:c>
      <x:c r="D9" s="20" t="str">
        <x:v>中高</x:v>
      </x:c>
      <x:c r="E9" s="20" t="str">
        <x:v>未处理</x:v>
      </x:c>
      <x:c r="F9" s="36" t="n">
        <x:v>46236</x:v>
      </x:c>
      <x:c r="G9" s="47" t="str">
        <x:v>EMS 功能迭代、策略/算法</x:v>
      </x:c>
    </x:row>
    <x:row r="10" ht="15" hidden="0" customHeight="1">
      <x:c r="A10" s="35" t="n">
        <x:v>6</x:v>
      </x:c>
      <x:c r="B10" s="20" t="str">
        <x:v>查看中创新航 C++ 新能源岗位</x:v>
      </x:c>
      <x:c r="C10" s="20" t="str">
        <x:v>中国公共招聘网</x:v>
      </x:c>
      <x:c r="D10" s="20" t="str">
        <x:v>中高</x:v>
      </x:c>
      <x:c r="E10" s="20" t="str">
        <x:v>未处理</x:v>
      </x:c>
      <x:c r="F10" s="36" t="n">
        <x:v>46236</x:v>
      </x:c>
      <x:c r="G10" s="47" t="str">
        <x:v>储能 EMS 边缘网关/协议</x:v>
      </x:c>
    </x:row>
    <x:row r="11" ht="15" hidden="0" customHeight="1">
      <x:c r="A11" s="38" t="n">
        <x:v>7</x:v>
      </x:c>
      <x:c r="B11" s="39" t="str">
        <x:v>保存并关注国资委中国电气装备春招页面</x:v>
      </x:c>
      <x:c r="C11" s="39" t="str">
        <x:v>国资小新/国资委</x:v>
      </x:c>
      <x:c r="D11" s="39" t="str">
        <x:v>高</x:v>
      </x:c>
      <x:c r="E11" s="39" t="str">
        <x:v>已记录</x:v>
      </x:c>
      <x:c r="F11" s="40" t="str"/>
      <x:c r="G11" s="48" t="str">
        <x:v>核是否有补录或后续批次</x:v>
      </x:c>
    </x:row>
  </x:sheetData>
  <x:mergeCells>
    <x:mergeCell ref="A1:G1"/>
    <x:mergeCell ref="A2:G2"/>
  </x:mergeCells>
  <x:dataValidations count="1">
    <x:dataValidation type="list" sqref="E5:E11">
      <x:formula1>"未处理,已查看,已投递,放弃,已记录,持续"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24e11500b147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22" hidden="0" customWidth="1"/>
    <x:col min="4" max="4" width="82" hidden="0" customWidth="1"/>
    <x:col min="5" max="5" width="56" hidden="0" customWidth="1"/>
  </x:cols>
  <x:sheetData>
    <x:row r="1" ht="30" hidden="0" customHeight="1">
      <x:c r="A1" s="49" t="str">
        <x:v>来源与说明</x:v>
      </x:c>
      <x:c r="B1" s="31"/>
      <x:c r="C1" s="31"/>
      <x:c r="D1" s="31"/>
      <x:c r="E1" s="32"/>
    </x:row>
    <x:row r="2" ht="24" hidden="0" customHeight="1">
      <x:c r="A2" s="33" t="str">
        <x:v>Excel 由本地 job-watch JSON 和官方页面检索结果生成，源链接以纯文本保留</x:v>
      </x:c>
      <x:c r="B2" s="20"/>
      <x:c r="C2" s="20"/>
      <x:c r="D2" s="20"/>
      <x:c r="E2" s="34"/>
    </x:row>
    <x:row r="3" ht="15" hidden="0" customHeight="1">
      <x:c r="A3" s="35"/>
      <x:c r="B3" s="20"/>
      <x:c r="C3" s="20"/>
      <x:c r="D3" s="20"/>
      <x:c r="E3" s="34"/>
    </x:row>
    <x:row r="4" ht="15" hidden="0" customHeight="1">
      <x:c r="A4" s="50" t="str">
        <x:v>类型</x:v>
      </x:c>
      <x:c r="B4" s="51" t="str">
        <x:v>名称</x:v>
      </x:c>
      <x:c r="C4" s="51" t="str">
        <x:v>状态/口径</x:v>
      </x:c>
      <x:c r="D4" s="51" t="str">
        <x:v>链接或本地路径</x:v>
      </x:c>
      <x:c r="E4" s="52" t="str">
        <x:v>摘要</x:v>
      </x:c>
    </x:row>
    <x:row r="5" ht="15" hidden="0" customHeight="1">
      <x:c r="A5" s="35" t="str">
        <x:v>平台</x:v>
      </x:c>
      <x:c r="B5" s="20" t="str">
        <x:v>中国公共招聘网</x:v>
      </x:c>
      <x:c r="C5" s="20" t="str">
        <x:v>岗位明细可抓取</x:v>
      </x:c>
      <x:c r="D5" s="20" t="str">
        <x:v>http://job.mohrss.gov.cn/</x:v>
      </x:c>
      <x:c r="E5" s="47" t="str">
        <x:v>用于提取具体岗位 JD</x:v>
      </x:c>
    </x:row>
    <x:row r="6" ht="15" hidden="0" customHeight="1">
      <x:c r="A6" s="35" t="str">
        <x:v>平台</x:v>
      </x:c>
      <x:c r="B6" s="20" t="str">
        <x:v>国聘行动</x:v>
      </x:c>
      <x:c r="C6" s="20" t="str">
        <x:v>公司入口和计数可核，具体 JD 需登录</x:v>
      </x:c>
      <x:c r="D6" s="20" t="str">
        <x:v>https://gpxd.iguopin.com/</x:v>
      </x:c>
      <x:c r="E6" s="47" t="str">
        <x:v>用于央企入口核验</x:v>
      </x:c>
    </x:row>
    <x:row r="7" ht="15" hidden="0" customHeight="1">
      <x:c r="A7" s="35" t="str">
        <x:v>官方页</x:v>
      </x:c>
      <x:c r="B7" s="20" t="str">
        <x:v>中国电气装备储能公司2026年度春季校园招聘燃梦启动</x:v>
      </x:c>
      <x:c r="C7" s="20" t="str">
        <x:v>2026-03-20 发布</x:v>
      </x:c>
      <x:c r="D7" s="20" t="str">
        <x:v>https://wap.sasac.gov.cn/n2588035/n2588325/n2588350/c35379023/content.html</x:v>
      </x:c>
      <x:c r="E7" s="47" t="str">
        <x:v>国资委招聘页/国资小新入口下的官方信号</x:v>
      </x:c>
    </x:row>
    <x:row r="8" ht="15" hidden="0" customHeight="1">
      <x:c r="A8" s="35" t="str">
        <x:v>本地 JSON</x:v>
      </x:c>
      <x:c r="B8" s="20" t="str">
        <x:v>mohrss-parsed-2026-07-27.json</x:v>
      </x:c>
      <x:c r="C8" s="20" t="str">
        <x:v>公共招聘网解析结果</x:v>
      </x:c>
      <x:c r="D8" s="20" t="str">
        <x:v>D:\CHAT\_projects\EMS-paltform\docs\岗位\job-watch-reports\mohrss-parsed-2026-07-27.json</x:v>
      </x:c>
      <x:c r="E8" s="47" t="str"/>
    </x:row>
    <x:row r="9" ht="15" hidden="0" customHeight="1">
      <x:c r="A9" s="35" t="str">
        <x:v>本地 JSON</x:v>
      </x:c>
      <x:c r="B9" s="20" t="str">
        <x:v>iguopin-counts-2026-07-27.json</x:v>
      </x:c>
      <x:c r="C9" s="20" t="str">
        <x:v>国聘岗位计数</x:v>
      </x:c>
      <x:c r="D9" s="20" t="str">
        <x:v>D:\CHAT\_projects\EMS-paltform\docs\岗位\job-watch-reports\iguopin-counts-2026-07-27.json</x:v>
      </x:c>
      <x:c r="E9" s="47" t="str"/>
    </x:row>
    <x:row r="10" ht="15" hidden="0" customHeight="1">
      <x:c r="A10" s="35" t="str">
        <x:v>本地报告</x:v>
      </x:c>
      <x:c r="B10" s="20" t="str">
        <x:v>job-watch-2026-07-27.md</x:v>
      </x:c>
      <x:c r="C10" s="20" t="str">
        <x:v>Markdown 报告</x:v>
      </x:c>
      <x:c r="D10" s="20" t="str">
        <x:v>D:\CHAT\_projects\EMS-paltform\docs\岗位\job-watch-reports\job-watch-2026-07-27.md</x:v>
      </x:c>
      <x:c r="E10" s="47" t="str"/>
    </x:row>
    <x:row r="11" ht="48" hidden="0" customHeight="1">
      <x:c r="A11" s="35" t="str">
        <x:v>抓取页面</x:v>
      </x:c>
      <x:c r="B11" s="20" t="str">
        <x:v>招聘－国务院国有资产监督管理委员会</x:v>
      </x:c>
      <x:c r="C11" s="20" t="n">
        <x:v>200</x:v>
      </x:c>
      <x:c r="D11" s="20" t="str">
        <x:v>https://wap.sasac.gov.cn/n2588035/n2588325/n2588350/index.html</x:v>
      </x:c>
      <x:c r="E11" s="47" t="str">
        <x:v>招聘－国务院国有资产监督管理委员会 首页 机构概况 新闻发布 监管动态 政务公开 国资数据 互动交流 在线服务 热点专题 --&gt; .mnav { background: none; padding-left: 0rem; background-size: 0rem; font-size: .25rem; } .mnav a { text-decoration: none; color: #848484; font-size: .25r…</x:v>
      </x:c>
    </x:row>
    <x:row r="12" ht="60" hidden="0" customHeight="1">
      <x:c r="A12" s="35" t="str">
        <x:v>抓取页面</x:v>
      </x:c>
      <x:c r="B12" s="20" t="str">
        <x:v>中国电气装备储能公司2026年度春季校园招聘燃梦启动－国务院国有资产监督管理委员会</x:v>
      </x:c>
      <x:c r="C12" s="20" t="n">
        <x:v>200</x:v>
      </x:c>
      <x:c r="D12" s="20" t="str">
        <x:v>https://wap.sasac.gov.cn/n2588035/n2588325/n2588350/c35379023/content.html</x:v>
      </x:c>
      <x:c r="E12" s="47" t="str">
        <x:v>中国电气装备储能公司2026年度春季校园招聘燃梦启动－国务院国有资产监督管理委员会 首页 机构概况 新闻发布 监管动态 政务公开 国资数据 互动交流 在线服务 热点专题 .mnav { background: none; padding-left: 0rem; background-size: 0rem; font-size: .25rem; } .mnav a { text-decoration: none; color: #848…</x:v>
      </x:c>
    </x:row>
    <x:row r="13" ht="15" hidden="0" customHeight="1">
      <x:c r="A13" s="35" t="str">
        <x:v>抓取页面</x:v>
      </x:c>
      <x:c r="B13" s="20" t="str">
        <x:v>mohrss_central_soe</x:v>
      </x:c>
      <x:c r="C13" s="20" t="str"/>
      <x:c r="D13" s="20" t="str">
        <x:v>https://job.mohrss.gov.cn/qyzp/index.jhtml</x:v>
      </x:c>
      <x:c r="E13" s="47" t="str"/>
    </x:row>
    <x:row r="14" ht="15" hidden="0" customHeight="1">
      <x:c r="A14" s="38" t="str">
        <x:v>抓取页面</x:v>
      </x:c>
      <x:c r="B14" s="39" t="str">
        <x:v>国资央企招聘平台</x:v>
      </x:c>
      <x:c r="C14" s="39" t="n">
        <x:v>200</x:v>
      </x:c>
      <x:c r="D14" s="39" t="str">
        <x:v>https://cujiuye.iguopin.com/</x:v>
      </x:c>
      <x:c r="E14" s="48" t="str">
        <x:v>国资央企招聘平台 You need to enable JavaScript to run this app.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286807aca814e4c"/>
  </x:tableParts>
</x:worksheet>
</file>